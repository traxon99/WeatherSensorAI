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ference Stories" sheetId="1" r:id="rId4"/>
    <sheet state="visible" name="Requirement Stack" sheetId="2" r:id="rId5"/>
  </sheets>
  <definedNames/>
  <calcPr/>
</workbook>
</file>

<file path=xl/sharedStrings.xml><?xml version="1.0" encoding="utf-8"?>
<sst xmlns="http://schemas.openxmlformats.org/spreadsheetml/2006/main" count="154" uniqueCount="154">
  <si>
    <t>Referential Story Number</t>
  </si>
  <si>
    <t>Pool</t>
  </si>
  <si>
    <t>Story Source</t>
  </si>
  <si>
    <t>Story Summary (25 - 50 words)</t>
  </si>
  <si>
    <t>EECS 330 Lab 1</t>
  </si>
  <si>
    <t xml:space="preserve">Downloaded and installed Python 3.11, Conda, and Github Desktop. Created a private repository solely for EECS 330 Labs and invited the TA. </t>
  </si>
  <si>
    <t>EECS 649 Assignment 1</t>
  </si>
  <si>
    <t>Performed Logistical and Polynomial Regression on a data set through Colab which walked us through each step of the process.</t>
  </si>
  <si>
    <t>EECS 658 Assignment 1</t>
  </si>
  <si>
    <t>Combined code provided in previous lectures in order to evaluate the iris dataset on 7 different Machine Learning models.</t>
  </si>
  <si>
    <t>EECS 700 Assignment 1</t>
  </si>
  <si>
    <t xml:space="preserve">Researched iris scanning and wrote a small paper about it, and applied it to real-world scenarios. </t>
  </si>
  <si>
    <t>EECS 658 Assignment 3</t>
  </si>
  <si>
    <t>Combined code provided in previous lectures in order to train a Neural Network on various data sets (Imbalanced, with Oversampling, and with Undersampling).</t>
  </si>
  <si>
    <t>EECS 700 Assignment 2</t>
  </si>
  <si>
    <t>Analyzed and compared two biometric identification systems using provided similarity matrices. Generated normalized genuine and impostor score histograms, calculated decidability index (d′), plotted CMC curves, and identified performance ranks. Determined System2 as superior based on accuracy and robustness, and discussed expected performance decline in Rank-1 rate with larger subject enrollment.</t>
  </si>
  <si>
    <t>EECS 510 Project</t>
  </si>
  <si>
    <t>Developed SoccermatchLang, a formal language to model and represent soccer match events. Defined syntax and grammar rules to capture gameplay sequences such as passes, goals, and substitutions. Implemented parsing and validation mechanisms to ensure event sequences adhere to real-world soccer constraints.</t>
  </si>
  <si>
    <t>EECS 330 Lab 3</t>
  </si>
  <si>
    <t>Implemented a Linked List using bare-bones starter code, which takes in an integer item and integer position, and inserts item at the given position. Additionally, implemented a reverse function that reverses the linked list and a replicate function.</t>
  </si>
  <si>
    <t>EECS 330 Lab 4</t>
  </si>
  <si>
    <t xml:space="preserve">Created a Deque using a Doubly-Linked-List. Implemented functions such as empty, get_size, push, push_front, pop, pop_front, front, back, resize, is_palindrome, and reverse_deque. Additionally, formulated test cases to ensure correctness and robustness of the Deque class. </t>
  </si>
  <si>
    <t>EECS 330 Lab 7</t>
  </si>
  <si>
    <t>Created a HashMap data structure with fully implemented functions of put, get, remove, and display.  Utilized the created HashMap to implement a FlightNode class, which stores a list of commercial airline flights and their corresponding set of trips. Additionally, each flight stored a flight number, trip id, and number of passengers on the trip.</t>
  </si>
  <si>
    <t>EECS 388 Final Project</t>
  </si>
  <si>
    <t xml:space="preserve">Designed an automatic braking system using a TFmini LiDAR sensor for object detection and distance 
measurement.ntegrated a deep neural network (DNN) model to predict and transmit steering angles to a HiFive board via UART. Programmed the embedded system in C and Python, demonstrating proficiency in serial communication and sensor 
integration. </t>
  </si>
  <si>
    <t>EECS 581 Project 2</t>
  </si>
  <si>
    <t xml:space="preserve">Completed maintenance of an existing minesweeper game from another EECS 581 team. Fixed functionality bugs, added new features, improved documentation. </t>
  </si>
  <si>
    <t xml:space="preserve">EECS 348 </t>
  </si>
  <si>
    <t xml:space="preserve">Created a command line calculator that supported arithmetic and boolean operations. Followed a very specific syntax required by the user stories. </t>
  </si>
  <si>
    <t>EECS 665 Project 1</t>
  </si>
  <si>
    <t>Created a scanner using Flex for the in-progress compiler which outputs the token stream per spec and outputs errors to stderr. Implemented support of IDs, ints, strings, bool, void, and language-specific symbols while tracking its line and column. Handles illegal characters, unterminated/bad strings, and 32-bit overflow.</t>
  </si>
  <si>
    <t>EECS 581 Project 1</t>
  </si>
  <si>
    <t>Planned, designed, and created a fully functional minesweeper game with our team in EECS 581. Backend with all the minesweeper functionality, and a GUI with sufficient detail.</t>
  </si>
  <si>
    <t>EECS 665 Project 2</t>
  </si>
  <si>
    <t xml:space="preserve">Built a Bison-based parser into the in-progress compiler. Created node types for each symbol, declaration, and type in the language. Implemented full language grammar utilizing Bison and Flex with explicit precedences and associativities. </t>
  </si>
  <si>
    <t>EECS 348 Final Project</t>
  </si>
  <si>
    <t xml:space="preserve">Developed a Boolean expression evaluator capable of  simulating logic circuits with operations such AND, OR, NOT, NAND, and XOR. Inmplmemnted unit tests to validate expression evaluations and ensure software reliability. </t>
  </si>
  <si>
    <t>EECS 665 Project 4</t>
  </si>
  <si>
    <t xml:space="preserve">Implemented a name analysis checker into a compiler, which parses and tokenizes the input, collects each semantic symbol (e.g. variable or function) of the input and builds a correspondance between the identifier and symbol in a symbol table. </t>
  </si>
  <si>
    <t xml:space="preserve">EECS 447 Project </t>
  </si>
  <si>
    <t xml:space="preserve">Developed an end-to-end relational database system to handle media inventory, client memberships, borrowing, returns, reservations, and fines.  Conducted domain modeling and requirements engineering to identify key entities and relationships. Produced ER 
diagrams and normalized schema to 3NF/BCNF. </t>
  </si>
  <si>
    <t>EECS 665 Project 5</t>
  </si>
  <si>
    <t xml:space="preserve">Implemented an AST type checker into the in-progress compiler. Assigned expression types, reported spec-complaint errors to stderr, enforced operator/operand rules, calls, arrays, and conditions. Ensured errors were not excessive. </t>
  </si>
  <si>
    <t>Requirement ID</t>
  </si>
  <si>
    <t>Description</t>
  </si>
  <si>
    <t>Story Points</t>
  </si>
  <si>
    <t>Priority</t>
  </si>
  <si>
    <t>Sprint No.</t>
  </si>
  <si>
    <t>1.1</t>
  </si>
  <si>
    <t>Define system architecture</t>
  </si>
  <si>
    <t>Project Summary: We want to create an LLM assisted weather web app that not only displays key weather information, but provides a natural language summary of the weather, and allows for limited conversation in regard to the weather.</t>
  </si>
  <si>
    <t>1.2</t>
  </si>
  <si>
    <t>Create UML Diagrams for Architecture</t>
  </si>
  <si>
    <t>1.3</t>
  </si>
  <si>
    <t>Create repository and initial file structure</t>
  </si>
  <si>
    <t>1.4</t>
  </si>
  <si>
    <t>Configure enviornment: set up enviornment varaibles for API keys</t>
  </si>
  <si>
    <t>1.5</t>
  </si>
  <si>
    <t>Create and complete the README file in github. (dependecies, setup steps, run instructions, etc.)</t>
  </si>
  <si>
    <t>1.6</t>
  </si>
  <si>
    <t>Create simple skeleton website (github hosting, static, focus on design over functionality)</t>
  </si>
  <si>
    <t>1.7</t>
  </si>
  <si>
    <t>Add CSS Styling and color theme</t>
  </si>
  <si>
    <t>1.8</t>
  </si>
  <si>
    <t>Verify deploment of github pages</t>
  </si>
  <si>
    <t>1.9</t>
  </si>
  <si>
    <t xml:space="preserve">Evaluate and select weather data source (data API) to be integrated. </t>
  </si>
  <si>
    <t>1.10</t>
  </si>
  <si>
    <t>Setup weather database API to retrieve realtime weather information (temp, precipitation, cloud cover, UV,  wind, storm, maybe AQI, etc). Static location, console output.</t>
  </si>
  <si>
    <t>Total Story Points for Sprint 1:</t>
  </si>
  <si>
    <t>1.11</t>
  </si>
  <si>
    <t>Verify data fields (temp, wind, UV, etc.)</t>
  </si>
  <si>
    <t>1.12</t>
  </si>
  <si>
    <t>Format API Response (parse JSON fields)</t>
  </si>
  <si>
    <t>1.13</t>
  </si>
  <si>
    <t>Create &amp; Complete Sprint 1 Artifacts</t>
  </si>
  <si>
    <t>2.1</t>
  </si>
  <si>
    <t>Structure parsed data into custom object/dictionary</t>
  </si>
  <si>
    <t>2.2</t>
  </si>
  <si>
    <t>Implement error handling for API</t>
  </si>
  <si>
    <t>2.3</t>
  </si>
  <si>
    <t>Add validation for missing or invalid data values</t>
  </si>
  <si>
    <t>2.4</t>
  </si>
  <si>
    <t>Test cases/ verify correctness of API responses</t>
  </si>
  <si>
    <t>2.5</t>
  </si>
  <si>
    <t>Choose LLM API and configure LLM provider</t>
  </si>
  <si>
    <t>2.6</t>
  </si>
  <si>
    <t>Verify connection with test prompt response</t>
  </si>
  <si>
    <t>2.7</t>
  </si>
  <si>
    <t>Design prompt structure for weather summary</t>
  </si>
  <si>
    <t>2.8</t>
  </si>
  <si>
    <t>Add a few example prompts for different weather types</t>
  </si>
  <si>
    <t>2.9</t>
  </si>
  <si>
    <t>Setup of Google Gemini API pipeline.</t>
  </si>
  <si>
    <t>2.10</t>
  </si>
  <si>
    <t>Implement summary within Gemini, return generated text</t>
  </si>
  <si>
    <t>2.11</t>
  </si>
  <si>
    <t>Return formatted summary string to console</t>
  </si>
  <si>
    <t>2.12</t>
  </si>
  <si>
    <t>Test cases/ verify summary quality</t>
  </si>
  <si>
    <t>Total Story Points for Sprint 2:</t>
  </si>
  <si>
    <t>2.13</t>
  </si>
  <si>
    <t>Create &amp; Complete Sprint 2 Artifacts</t>
  </si>
  <si>
    <t>3.1</t>
  </si>
  <si>
    <t>Integrate Chat UI with Gemini (Connect Gemini to chatbox)</t>
  </si>
  <si>
    <t>3.2</t>
  </si>
  <si>
    <t>Display key weather information on website (Connect UI to weather API), display temperature, icons, etc.</t>
  </si>
  <si>
    <t>3.3</t>
  </si>
  <si>
    <t>Add weather icons for conditions (sun, rain, clouds)</t>
  </si>
  <si>
    <t>3.4</t>
  </si>
  <si>
    <t>Implement location search, allow user to query by city or GPS</t>
  </si>
  <si>
    <t>3.5</t>
  </si>
  <si>
    <t>Add unit switching (Celsius to Fahrenheit)</t>
  </si>
  <si>
    <t>3.6</t>
  </si>
  <si>
    <t>Create loading and error states within UI</t>
  </si>
  <si>
    <t>3.7</t>
  </si>
  <si>
    <t>Display error messages and retry option</t>
  </si>
  <si>
    <t>3.8</t>
  </si>
  <si>
    <t>Test cases/ verify correctness of location weather, and unit conversion</t>
  </si>
  <si>
    <t>3.9</t>
  </si>
  <si>
    <t>Design chat UI component and integrate with existing layout</t>
  </si>
  <si>
    <t>Total Story Points for Sprint 3:</t>
  </si>
  <si>
    <t>3.10</t>
  </si>
  <si>
    <t>Create &amp; Complete Sprint 3 Artifacts</t>
  </si>
  <si>
    <t>4.1</t>
  </si>
  <si>
    <t>Create and implement backend chat handler (Chat UI and Gemini)</t>
  </si>
  <si>
    <t>4.2</t>
  </si>
  <si>
    <t>Handle real-time message exchange (front to back)</t>
  </si>
  <si>
    <t>4.3</t>
  </si>
  <si>
    <t>Add conversational limits and constraints, restrict to weather-related topics</t>
  </si>
  <si>
    <t>4.4</t>
  </si>
  <si>
    <t>Implement error handling for chat.</t>
  </si>
  <si>
    <t>4.5</t>
  </si>
  <si>
    <t>Test cases/ Chat conversational flow, topics, verify correctness</t>
  </si>
  <si>
    <t>4.6</t>
  </si>
  <si>
    <t>UI Polish (Make sure website is consistent and professional)</t>
  </si>
  <si>
    <t>4.7</t>
  </si>
  <si>
    <t>Review color palette and spacing for consistency</t>
  </si>
  <si>
    <t>4.8</t>
  </si>
  <si>
    <t>Final responsiveness and polish (loading results, finalize for deployment)</t>
  </si>
  <si>
    <t>4.9</t>
  </si>
  <si>
    <t>Test load times and transitions</t>
  </si>
  <si>
    <t>4.10</t>
  </si>
  <si>
    <t>Update README and documentation</t>
  </si>
  <si>
    <t>4.11</t>
  </si>
  <si>
    <t>Create demo video showing final product</t>
  </si>
  <si>
    <t>Total Story Points for Sprint 4:</t>
  </si>
  <si>
    <t>4.12</t>
  </si>
  <si>
    <t>Write short team retrospective and project reflection</t>
  </si>
  <si>
    <t>4.13</t>
  </si>
  <si>
    <t>Create &amp; Complete Sprint 4 Artifacts</t>
  </si>
  <si>
    <t>4.14</t>
  </si>
  <si>
    <t>Add Prologue Comments to all code files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</si>
</sst>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theme="1"/>
      <name val="Cambria Math"/>
    </font>
    <font>
      <color theme="1"/>
      <name val="Cambria Math"/>
    </font>
    <font>
      <b/>
      <color theme="1"/>
      <name val="Cambria Math"/>
    </font>
    <font>
      <sz val="10.0"/>
      <color theme="1"/>
      <name val="Cambria Math"/>
    </font>
    <font>
      <sz val="12.0"/>
      <color theme="1"/>
      <name val="Cambria Math"/>
    </font>
    <font>
      <color theme="1"/>
      <name val="Arial"/>
    </font>
  </fonts>
  <fills count="4">
    <fill>
      <patternFill patternType="none"/>
    </fill>
    <fill>
      <patternFill patternType="lightGray"/>
    </fill>
    <fill>
      <patternFill patternType="solid">
        <fgColor rgb="FFC9DAF8"/>
        <bgColor rgb="FFC9DAF8"/>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0" fillId="2" fontId="2" numFmtId="0" xfId="0" applyAlignment="1" applyFont="1">
      <alignment horizontal="center" vertical="center"/>
    </xf>
    <xf borderId="1" fillId="0" fontId="3" numFmtId="0" xfId="0" applyAlignment="1" applyBorder="1" applyFont="1">
      <alignment horizontal="center" readingOrder="0" vertical="center"/>
    </xf>
    <xf borderId="1" fillId="0" fontId="2" numFmtId="0" xfId="0" applyAlignment="1" applyBorder="1" applyFont="1">
      <alignment horizontal="center" readingOrder="0" vertical="center"/>
    </xf>
    <xf borderId="1" fillId="3" fontId="2" numFmtId="0" xfId="0" applyAlignment="1" applyBorder="1" applyFill="1" applyFont="1">
      <alignment horizontal="center" readingOrder="0" shrinkToFit="0" vertical="center" wrapText="1"/>
    </xf>
    <xf borderId="0" fillId="0" fontId="2" numFmtId="0" xfId="0" applyAlignment="1" applyFont="1">
      <alignment horizontal="center" readingOrder="0" vertical="center"/>
    </xf>
    <xf borderId="0" fillId="0" fontId="2" numFmtId="0" xfId="0" applyAlignment="1" applyFont="1">
      <alignment horizontal="center" vertical="center"/>
    </xf>
    <xf borderId="1" fillId="0" fontId="2"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0" fillId="0" fontId="3" numFmtId="0" xfId="0" applyAlignment="1" applyFont="1">
      <alignment horizontal="center" vertical="center"/>
    </xf>
    <xf borderId="0" fillId="0" fontId="3" numFmtId="0" xfId="0" applyAlignment="1" applyFont="1">
      <alignment horizontal="center" vertical="center"/>
    </xf>
    <xf borderId="1" fillId="2" fontId="1" numFmtId="49" xfId="0" applyAlignment="1" applyBorder="1" applyFont="1" applyNumberFormat="1">
      <alignment horizontal="center" shrinkToFit="0" vertical="center" wrapText="1"/>
    </xf>
    <xf borderId="1" fillId="2" fontId="5" numFmtId="0" xfId="0" applyAlignment="1" applyBorder="1" applyFont="1">
      <alignment horizontal="center" shrinkToFit="0" vertical="center" wrapText="1"/>
    </xf>
    <xf borderId="0" fillId="2" fontId="6" numFmtId="0" xfId="0" applyAlignment="1" applyFont="1">
      <alignment vertical="center"/>
    </xf>
    <xf borderId="1" fillId="0" fontId="3" numFmtId="49" xfId="0" applyAlignment="1" applyBorder="1" applyFont="1" applyNumberFormat="1">
      <alignment horizontal="center" shrinkToFit="0" vertical="center" wrapText="1"/>
    </xf>
    <xf borderId="1" fillId="0" fontId="2"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6" numFmtId="0" xfId="0" applyAlignment="1" applyFont="1">
      <alignment horizontal="center" vertical="center"/>
    </xf>
    <xf borderId="0" fillId="0" fontId="6" numFmtId="0" xfId="0" applyAlignment="1" applyFont="1">
      <alignment vertical="center"/>
    </xf>
    <xf borderId="0" fillId="0" fontId="6" numFmtId="0" xfId="0" applyAlignment="1" applyFont="1">
      <alignment vertical="center"/>
    </xf>
    <xf borderId="0" fillId="0" fontId="2" numFmtId="0" xfId="0" applyAlignment="1" applyFont="1">
      <alignment horizontal="center" shrinkToFit="0" vertical="center" wrapText="1"/>
    </xf>
    <xf borderId="1" fillId="0" fontId="2" numFmtId="0" xfId="0" applyAlignment="1" applyBorder="1" applyFont="1">
      <alignment horizontal="center" vertical="center"/>
    </xf>
    <xf borderId="0" fillId="0" fontId="3" numFmtId="49" xfId="0" applyAlignment="1" applyFont="1" applyNumberFormat="1">
      <alignment horizontal="center" shrinkToFit="0" vertical="center" wrapText="1"/>
    </xf>
    <xf borderId="0" fillId="0" fontId="2" numFmtId="0" xfId="0" applyAlignment="1" applyFont="1">
      <alignment horizontal="center" vertical="center"/>
    </xf>
    <xf borderId="0" fillId="0" fontId="6" numFmtId="49" xfId="0" applyAlignment="1" applyFont="1" applyNumberFormat="1">
      <alignment vertical="center"/>
    </xf>
  </cellXfs>
  <cellStyles count="1">
    <cellStyle xfId="0" name="Normal" builtinId="0"/>
  </cellStyles>
  <dxfs count="2">
    <dxf>
      <font/>
      <fill>
        <patternFill patternType="solid">
          <fgColor rgb="FFB7E1CD"/>
          <bgColor rgb="FFB7E1CD"/>
        </patternFill>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4.75"/>
    <col customWidth="1" min="3" max="3" width="24.5"/>
    <col customWidth="1" min="4" max="4" width="62.75"/>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v>1.0</v>
      </c>
      <c r="B2" s="4">
        <v>1.0</v>
      </c>
      <c r="C2" s="4" t="s">
        <v>4</v>
      </c>
      <c r="D2" s="5" t="s">
        <v>5</v>
      </c>
      <c r="E2" s="6"/>
      <c r="F2" s="7"/>
      <c r="G2" s="7"/>
      <c r="H2" s="7"/>
      <c r="I2" s="7"/>
      <c r="J2" s="7"/>
      <c r="K2" s="7"/>
      <c r="L2" s="7"/>
      <c r="M2" s="7"/>
      <c r="N2" s="7"/>
      <c r="O2" s="7"/>
      <c r="P2" s="7"/>
      <c r="Q2" s="7"/>
      <c r="R2" s="7"/>
      <c r="S2" s="7"/>
      <c r="T2" s="7"/>
      <c r="U2" s="7"/>
      <c r="V2" s="7"/>
      <c r="W2" s="7"/>
      <c r="X2" s="7"/>
      <c r="Y2" s="7"/>
      <c r="Z2" s="7"/>
    </row>
    <row r="3">
      <c r="A3" s="3">
        <v>2.0</v>
      </c>
      <c r="B3" s="4">
        <v>1.0</v>
      </c>
      <c r="C3" s="4" t="s">
        <v>6</v>
      </c>
      <c r="D3" s="8" t="s">
        <v>7</v>
      </c>
      <c r="E3" s="7"/>
      <c r="F3" s="7"/>
      <c r="G3" s="7"/>
      <c r="H3" s="7"/>
      <c r="I3" s="7"/>
      <c r="J3" s="7"/>
      <c r="K3" s="7"/>
      <c r="L3" s="7"/>
      <c r="M3" s="7"/>
      <c r="N3" s="7"/>
      <c r="O3" s="7"/>
      <c r="P3" s="7"/>
      <c r="Q3" s="7"/>
      <c r="R3" s="7"/>
      <c r="S3" s="7"/>
      <c r="T3" s="7"/>
      <c r="U3" s="7"/>
      <c r="V3" s="7"/>
      <c r="W3" s="7"/>
      <c r="X3" s="7"/>
      <c r="Y3" s="7"/>
      <c r="Z3" s="7"/>
    </row>
    <row r="4">
      <c r="A4" s="3">
        <v>3.0</v>
      </c>
      <c r="B4" s="4">
        <v>1.0</v>
      </c>
      <c r="C4" s="4" t="s">
        <v>8</v>
      </c>
      <c r="D4" s="8" t="s">
        <v>9</v>
      </c>
      <c r="E4" s="7"/>
      <c r="F4" s="7"/>
      <c r="G4" s="7"/>
      <c r="H4" s="7"/>
      <c r="I4" s="7"/>
      <c r="J4" s="7"/>
      <c r="K4" s="7"/>
      <c r="L4" s="7"/>
      <c r="M4" s="7"/>
      <c r="N4" s="7"/>
      <c r="O4" s="7"/>
      <c r="P4" s="7"/>
      <c r="Q4" s="7"/>
      <c r="R4" s="7"/>
      <c r="S4" s="7"/>
      <c r="T4" s="7"/>
      <c r="U4" s="7"/>
      <c r="V4" s="7"/>
      <c r="W4" s="7"/>
      <c r="X4" s="7"/>
      <c r="Y4" s="7"/>
      <c r="Z4" s="7"/>
    </row>
    <row r="5">
      <c r="A5" s="3">
        <v>4.0</v>
      </c>
      <c r="B5" s="4">
        <v>1.0</v>
      </c>
      <c r="C5" s="4" t="s">
        <v>10</v>
      </c>
      <c r="D5" s="8" t="s">
        <v>11</v>
      </c>
      <c r="E5" s="7"/>
      <c r="F5" s="7"/>
      <c r="G5" s="7"/>
      <c r="H5" s="7"/>
      <c r="I5" s="7"/>
      <c r="J5" s="7"/>
      <c r="K5" s="7"/>
      <c r="L5" s="7"/>
      <c r="M5" s="7"/>
      <c r="N5" s="7"/>
      <c r="O5" s="7"/>
      <c r="P5" s="7"/>
      <c r="Q5" s="7"/>
      <c r="R5" s="7"/>
      <c r="S5" s="7"/>
      <c r="T5" s="7"/>
      <c r="U5" s="7"/>
      <c r="V5" s="7"/>
      <c r="W5" s="7"/>
      <c r="X5" s="7"/>
      <c r="Y5" s="7"/>
      <c r="Z5" s="7"/>
    </row>
    <row r="6">
      <c r="A6" s="3">
        <v>5.0</v>
      </c>
      <c r="B6" s="4">
        <v>1.0</v>
      </c>
      <c r="C6" s="4" t="s">
        <v>12</v>
      </c>
      <c r="D6" s="8" t="s">
        <v>13</v>
      </c>
      <c r="E6" s="7"/>
      <c r="F6" s="7"/>
      <c r="G6" s="7"/>
      <c r="H6" s="7"/>
      <c r="I6" s="7"/>
      <c r="J6" s="7"/>
      <c r="K6" s="7"/>
      <c r="L6" s="7"/>
      <c r="M6" s="7"/>
      <c r="N6" s="7"/>
      <c r="O6" s="7"/>
      <c r="P6" s="7"/>
      <c r="Q6" s="7"/>
      <c r="R6" s="7"/>
      <c r="S6" s="7"/>
      <c r="T6" s="7"/>
      <c r="U6" s="7"/>
      <c r="V6" s="7"/>
      <c r="W6" s="7"/>
      <c r="X6" s="7"/>
      <c r="Y6" s="7"/>
      <c r="Z6" s="7"/>
    </row>
    <row r="7">
      <c r="A7" s="3">
        <v>6.0</v>
      </c>
      <c r="B7" s="4">
        <v>2.0</v>
      </c>
      <c r="C7" s="4" t="s">
        <v>14</v>
      </c>
      <c r="D7" s="9" t="s">
        <v>15</v>
      </c>
      <c r="E7" s="7"/>
      <c r="F7" s="7"/>
      <c r="G7" s="7"/>
      <c r="H7" s="7"/>
      <c r="I7" s="7"/>
      <c r="J7" s="7"/>
      <c r="K7" s="7"/>
      <c r="L7" s="7"/>
      <c r="M7" s="7"/>
      <c r="N7" s="7"/>
      <c r="O7" s="7"/>
      <c r="P7" s="7"/>
      <c r="Q7" s="7"/>
      <c r="R7" s="7"/>
      <c r="S7" s="7"/>
      <c r="T7" s="7"/>
      <c r="U7" s="7"/>
      <c r="V7" s="7"/>
      <c r="W7" s="7"/>
      <c r="X7" s="7"/>
      <c r="Y7" s="7"/>
      <c r="Z7" s="7"/>
    </row>
    <row r="8">
      <c r="A8" s="3">
        <v>7.0</v>
      </c>
      <c r="B8" s="4">
        <v>2.0</v>
      </c>
      <c r="C8" s="4" t="s">
        <v>16</v>
      </c>
      <c r="D8" s="8" t="s">
        <v>17</v>
      </c>
      <c r="E8" s="7"/>
      <c r="F8" s="7"/>
      <c r="G8" s="7"/>
      <c r="H8" s="7"/>
      <c r="I8" s="7"/>
      <c r="J8" s="7"/>
      <c r="K8" s="7"/>
      <c r="L8" s="7"/>
      <c r="M8" s="7"/>
      <c r="N8" s="7"/>
      <c r="O8" s="7"/>
      <c r="P8" s="7"/>
      <c r="Q8" s="7"/>
      <c r="R8" s="7"/>
      <c r="S8" s="7"/>
      <c r="T8" s="7"/>
      <c r="U8" s="7"/>
      <c r="V8" s="7"/>
      <c r="W8" s="7"/>
      <c r="X8" s="7"/>
      <c r="Y8" s="7"/>
      <c r="Z8" s="7"/>
    </row>
    <row r="9">
      <c r="A9" s="3">
        <v>8.0</v>
      </c>
      <c r="B9" s="4">
        <v>2.0</v>
      </c>
      <c r="C9" s="4" t="s">
        <v>18</v>
      </c>
      <c r="D9" s="8" t="s">
        <v>19</v>
      </c>
      <c r="E9" s="7"/>
      <c r="F9" s="7"/>
      <c r="G9" s="7"/>
      <c r="H9" s="7"/>
      <c r="I9" s="7"/>
      <c r="J9" s="7"/>
      <c r="K9" s="7"/>
      <c r="L9" s="7"/>
      <c r="M9" s="7"/>
      <c r="N9" s="7"/>
      <c r="O9" s="7"/>
      <c r="P9" s="7"/>
      <c r="Q9" s="7"/>
      <c r="R9" s="7"/>
      <c r="S9" s="7"/>
      <c r="T9" s="7"/>
      <c r="U9" s="7"/>
      <c r="V9" s="7"/>
      <c r="W9" s="7"/>
      <c r="X9" s="7"/>
      <c r="Y9" s="7"/>
      <c r="Z9" s="7"/>
    </row>
    <row r="10">
      <c r="A10" s="3">
        <v>9.0</v>
      </c>
      <c r="B10" s="4">
        <v>3.0</v>
      </c>
      <c r="C10" s="4" t="s">
        <v>20</v>
      </c>
      <c r="D10" s="8" t="s">
        <v>21</v>
      </c>
      <c r="E10" s="7"/>
      <c r="F10" s="7"/>
      <c r="G10" s="7"/>
      <c r="H10" s="7"/>
      <c r="I10" s="7"/>
      <c r="J10" s="7"/>
      <c r="K10" s="7"/>
      <c r="L10" s="7"/>
      <c r="M10" s="7"/>
      <c r="N10" s="7"/>
      <c r="O10" s="7"/>
      <c r="P10" s="7"/>
      <c r="Q10" s="7"/>
      <c r="R10" s="7"/>
      <c r="S10" s="7"/>
      <c r="T10" s="7"/>
      <c r="U10" s="7"/>
      <c r="V10" s="7"/>
      <c r="W10" s="7"/>
      <c r="X10" s="7"/>
      <c r="Y10" s="7"/>
      <c r="Z10" s="7"/>
    </row>
    <row r="11">
      <c r="A11" s="3">
        <v>10.0</v>
      </c>
      <c r="B11" s="4">
        <v>3.0</v>
      </c>
      <c r="C11" s="4" t="s">
        <v>22</v>
      </c>
      <c r="D11" s="8" t="s">
        <v>23</v>
      </c>
      <c r="E11" s="7"/>
      <c r="F11" s="7"/>
      <c r="G11" s="7"/>
      <c r="H11" s="7"/>
      <c r="I11" s="7"/>
      <c r="J11" s="7"/>
      <c r="K11" s="7"/>
      <c r="L11" s="7"/>
      <c r="M11" s="7"/>
      <c r="N11" s="7"/>
      <c r="O11" s="7"/>
      <c r="P11" s="7"/>
      <c r="Q11" s="7"/>
      <c r="R11" s="7"/>
      <c r="S11" s="7"/>
      <c r="T11" s="7"/>
      <c r="U11" s="7"/>
      <c r="V11" s="7"/>
      <c r="W11" s="7"/>
      <c r="X11" s="7"/>
      <c r="Y11" s="7"/>
      <c r="Z11" s="7"/>
    </row>
    <row r="12">
      <c r="A12" s="3">
        <v>11.0</v>
      </c>
      <c r="B12" s="4">
        <v>3.0</v>
      </c>
      <c r="C12" s="4" t="s">
        <v>24</v>
      </c>
      <c r="D12" s="8" t="s">
        <v>25</v>
      </c>
      <c r="E12" s="7"/>
      <c r="F12" s="7"/>
      <c r="G12" s="7"/>
      <c r="H12" s="7"/>
      <c r="I12" s="7"/>
      <c r="J12" s="7"/>
      <c r="K12" s="7"/>
      <c r="L12" s="7"/>
      <c r="M12" s="7"/>
      <c r="N12" s="7"/>
      <c r="O12" s="7"/>
      <c r="P12" s="7"/>
      <c r="Q12" s="7"/>
      <c r="R12" s="7"/>
      <c r="S12" s="7"/>
      <c r="T12" s="7"/>
      <c r="U12" s="7"/>
      <c r="V12" s="7"/>
      <c r="W12" s="7"/>
      <c r="X12" s="7"/>
      <c r="Y12" s="7"/>
      <c r="Z12" s="7"/>
    </row>
    <row r="13">
      <c r="A13" s="3">
        <v>12.0</v>
      </c>
      <c r="B13" s="4">
        <v>5.0</v>
      </c>
      <c r="C13" s="4" t="s">
        <v>26</v>
      </c>
      <c r="D13" s="8" t="s">
        <v>27</v>
      </c>
      <c r="E13" s="7"/>
      <c r="F13" s="7"/>
      <c r="G13" s="7"/>
      <c r="H13" s="7"/>
      <c r="I13" s="7"/>
      <c r="J13" s="7"/>
      <c r="K13" s="7"/>
      <c r="L13" s="7"/>
      <c r="M13" s="7"/>
      <c r="N13" s="7"/>
      <c r="O13" s="7"/>
      <c r="P13" s="7"/>
      <c r="Q13" s="7"/>
      <c r="R13" s="7"/>
      <c r="S13" s="7"/>
      <c r="T13" s="7"/>
      <c r="U13" s="7"/>
      <c r="V13" s="7"/>
      <c r="W13" s="7"/>
      <c r="X13" s="7"/>
      <c r="Y13" s="7"/>
      <c r="Z13" s="7"/>
    </row>
    <row r="14">
      <c r="A14" s="3">
        <v>13.0</v>
      </c>
      <c r="B14" s="4">
        <v>5.0</v>
      </c>
      <c r="C14" s="4" t="s">
        <v>28</v>
      </c>
      <c r="D14" s="8" t="s">
        <v>29</v>
      </c>
      <c r="E14" s="7"/>
      <c r="F14" s="7"/>
      <c r="G14" s="7"/>
      <c r="H14" s="7"/>
      <c r="I14" s="7"/>
      <c r="J14" s="7"/>
      <c r="K14" s="7"/>
      <c r="L14" s="7"/>
      <c r="M14" s="7"/>
      <c r="N14" s="7"/>
      <c r="O14" s="7"/>
      <c r="P14" s="7"/>
      <c r="Q14" s="7"/>
      <c r="R14" s="7"/>
      <c r="S14" s="7"/>
      <c r="T14" s="7"/>
      <c r="U14" s="7"/>
      <c r="V14" s="7"/>
      <c r="W14" s="7"/>
      <c r="X14" s="7"/>
      <c r="Y14" s="7"/>
      <c r="Z14" s="7"/>
    </row>
    <row r="15">
      <c r="A15" s="3">
        <v>14.0</v>
      </c>
      <c r="B15" s="4">
        <v>5.0</v>
      </c>
      <c r="C15" s="4" t="s">
        <v>30</v>
      </c>
      <c r="D15" s="8" t="s">
        <v>31</v>
      </c>
      <c r="E15" s="7"/>
      <c r="F15" s="7"/>
      <c r="G15" s="7"/>
      <c r="H15" s="7"/>
      <c r="I15" s="7"/>
      <c r="J15" s="7"/>
      <c r="K15" s="7"/>
      <c r="L15" s="7"/>
      <c r="M15" s="7"/>
      <c r="N15" s="7"/>
      <c r="O15" s="7"/>
      <c r="P15" s="7"/>
      <c r="Q15" s="7"/>
      <c r="R15" s="7"/>
      <c r="S15" s="7"/>
      <c r="T15" s="7"/>
      <c r="U15" s="7"/>
      <c r="V15" s="7"/>
      <c r="W15" s="7"/>
      <c r="X15" s="7"/>
      <c r="Y15" s="7"/>
      <c r="Z15" s="7"/>
    </row>
    <row r="16">
      <c r="A16" s="3">
        <v>15.0</v>
      </c>
      <c r="B16" s="4">
        <v>8.0</v>
      </c>
      <c r="C16" s="4" t="s">
        <v>32</v>
      </c>
      <c r="D16" s="8" t="s">
        <v>33</v>
      </c>
      <c r="E16" s="7"/>
      <c r="F16" s="7"/>
      <c r="G16" s="7"/>
      <c r="H16" s="7"/>
      <c r="I16" s="7"/>
      <c r="J16" s="7"/>
      <c r="K16" s="7"/>
      <c r="L16" s="7"/>
      <c r="M16" s="7"/>
      <c r="N16" s="7"/>
      <c r="O16" s="7"/>
      <c r="P16" s="7"/>
      <c r="Q16" s="7"/>
      <c r="R16" s="7"/>
      <c r="S16" s="7"/>
      <c r="T16" s="7"/>
      <c r="U16" s="7"/>
      <c r="V16" s="7"/>
      <c r="W16" s="7"/>
      <c r="X16" s="7"/>
      <c r="Y16" s="7"/>
      <c r="Z16" s="7"/>
    </row>
    <row r="17">
      <c r="A17" s="3">
        <v>16.0</v>
      </c>
      <c r="B17" s="4">
        <v>8.0</v>
      </c>
      <c r="C17" s="4" t="s">
        <v>34</v>
      </c>
      <c r="D17" s="8" t="s">
        <v>35</v>
      </c>
      <c r="E17" s="7"/>
      <c r="F17" s="7"/>
      <c r="G17" s="7"/>
      <c r="H17" s="7"/>
      <c r="I17" s="7"/>
      <c r="J17" s="7"/>
      <c r="K17" s="7"/>
      <c r="L17" s="7"/>
      <c r="M17" s="7"/>
      <c r="N17" s="7"/>
      <c r="O17" s="7"/>
      <c r="P17" s="7"/>
      <c r="Q17" s="7"/>
      <c r="R17" s="7"/>
      <c r="S17" s="7"/>
      <c r="T17" s="7"/>
      <c r="U17" s="7"/>
      <c r="V17" s="7"/>
      <c r="W17" s="7"/>
      <c r="X17" s="7"/>
      <c r="Y17" s="7"/>
      <c r="Z17" s="7"/>
    </row>
    <row r="18">
      <c r="A18" s="3">
        <v>17.0</v>
      </c>
      <c r="B18" s="4">
        <v>8.0</v>
      </c>
      <c r="C18" s="4" t="s">
        <v>36</v>
      </c>
      <c r="D18" s="8" t="s">
        <v>37</v>
      </c>
      <c r="E18" s="7"/>
      <c r="F18" s="7"/>
      <c r="G18" s="7"/>
      <c r="H18" s="7"/>
      <c r="I18" s="7"/>
      <c r="J18" s="7"/>
      <c r="K18" s="7"/>
      <c r="L18" s="7"/>
      <c r="M18" s="7"/>
      <c r="N18" s="7"/>
      <c r="O18" s="7"/>
      <c r="P18" s="7"/>
      <c r="Q18" s="7"/>
      <c r="R18" s="7"/>
      <c r="S18" s="7"/>
      <c r="T18" s="7"/>
      <c r="U18" s="7"/>
      <c r="V18" s="7"/>
      <c r="W18" s="7"/>
      <c r="X18" s="7"/>
      <c r="Y18" s="7"/>
      <c r="Z18" s="7"/>
    </row>
    <row r="19">
      <c r="A19" s="3">
        <v>18.0</v>
      </c>
      <c r="B19" s="4">
        <v>13.0</v>
      </c>
      <c r="C19" s="4" t="s">
        <v>38</v>
      </c>
      <c r="D19" s="8" t="s">
        <v>39</v>
      </c>
      <c r="E19" s="7"/>
      <c r="F19" s="7"/>
      <c r="G19" s="7"/>
      <c r="H19" s="7"/>
      <c r="I19" s="7"/>
      <c r="J19" s="7"/>
      <c r="K19" s="7"/>
      <c r="L19" s="7"/>
      <c r="M19" s="7"/>
      <c r="N19" s="7"/>
      <c r="O19" s="7"/>
      <c r="P19" s="7"/>
      <c r="Q19" s="7"/>
      <c r="R19" s="7"/>
      <c r="S19" s="7"/>
      <c r="T19" s="7"/>
      <c r="U19" s="7"/>
      <c r="V19" s="7"/>
      <c r="W19" s="7"/>
      <c r="X19" s="7"/>
      <c r="Y19" s="7"/>
      <c r="Z19" s="7"/>
    </row>
    <row r="20">
      <c r="A20" s="3">
        <v>19.0</v>
      </c>
      <c r="B20" s="4">
        <v>13.0</v>
      </c>
      <c r="C20" s="4" t="s">
        <v>40</v>
      </c>
      <c r="D20" s="8" t="s">
        <v>41</v>
      </c>
      <c r="E20" s="7"/>
      <c r="F20" s="7"/>
      <c r="G20" s="7"/>
      <c r="H20" s="7"/>
      <c r="I20" s="7"/>
      <c r="J20" s="7"/>
      <c r="K20" s="7"/>
      <c r="L20" s="7"/>
      <c r="M20" s="7"/>
      <c r="N20" s="7"/>
      <c r="O20" s="7"/>
      <c r="P20" s="7"/>
      <c r="Q20" s="7"/>
      <c r="R20" s="7"/>
      <c r="S20" s="7"/>
      <c r="T20" s="7"/>
      <c r="U20" s="7"/>
      <c r="V20" s="7"/>
      <c r="W20" s="7"/>
      <c r="X20" s="7"/>
      <c r="Y20" s="7"/>
      <c r="Z20" s="7"/>
    </row>
    <row r="21">
      <c r="A21" s="3">
        <v>20.0</v>
      </c>
      <c r="B21" s="4">
        <v>13.0</v>
      </c>
      <c r="C21" s="4" t="s">
        <v>42</v>
      </c>
      <c r="D21" s="8" t="s">
        <v>43</v>
      </c>
      <c r="E21" s="7"/>
      <c r="F21" s="7"/>
      <c r="G21" s="7"/>
      <c r="H21" s="7"/>
      <c r="I21" s="7"/>
      <c r="J21" s="7"/>
      <c r="K21" s="7"/>
      <c r="L21" s="7"/>
      <c r="M21" s="7"/>
      <c r="N21" s="7"/>
      <c r="O21" s="7"/>
      <c r="P21" s="7"/>
      <c r="Q21" s="7"/>
      <c r="R21" s="7"/>
      <c r="S21" s="7"/>
      <c r="T21" s="7"/>
      <c r="U21" s="7"/>
      <c r="V21" s="7"/>
      <c r="W21" s="7"/>
      <c r="X21" s="7"/>
      <c r="Y21" s="7"/>
      <c r="Z21" s="7"/>
    </row>
    <row r="22">
      <c r="A22" s="10"/>
      <c r="B22" s="7"/>
      <c r="C22" s="7"/>
      <c r="D22" s="7"/>
      <c r="E22" s="7"/>
      <c r="F22" s="7"/>
      <c r="G22" s="7"/>
      <c r="H22" s="7"/>
      <c r="I22" s="7"/>
      <c r="J22" s="7"/>
      <c r="K22" s="7"/>
      <c r="L22" s="7"/>
      <c r="M22" s="7"/>
      <c r="N22" s="7"/>
      <c r="O22" s="7"/>
      <c r="P22" s="7"/>
      <c r="Q22" s="7"/>
      <c r="R22" s="7"/>
      <c r="S22" s="7"/>
      <c r="T22" s="7"/>
      <c r="U22" s="7"/>
      <c r="V22" s="7"/>
      <c r="W22" s="7"/>
      <c r="X22" s="7"/>
      <c r="Y22" s="7"/>
      <c r="Z22" s="7"/>
    </row>
    <row r="23">
      <c r="A23" s="11"/>
      <c r="B23" s="7"/>
      <c r="C23" s="7"/>
      <c r="D23" s="7"/>
      <c r="E23" s="7"/>
      <c r="F23" s="7"/>
      <c r="G23" s="7"/>
      <c r="H23" s="7"/>
      <c r="I23" s="7"/>
      <c r="J23" s="7"/>
      <c r="K23" s="7"/>
      <c r="L23" s="7"/>
      <c r="M23" s="7"/>
      <c r="N23" s="7"/>
      <c r="O23" s="7"/>
      <c r="P23" s="7"/>
      <c r="Q23" s="7"/>
      <c r="R23" s="7"/>
      <c r="S23" s="7"/>
      <c r="T23" s="7"/>
      <c r="U23" s="7"/>
      <c r="V23" s="7"/>
      <c r="W23" s="7"/>
      <c r="X23" s="7"/>
      <c r="Y23" s="7"/>
      <c r="Z23" s="7"/>
    </row>
    <row r="24">
      <c r="A24" s="11"/>
      <c r="B24" s="7"/>
      <c r="C24" s="7"/>
      <c r="D24" s="7"/>
      <c r="E24" s="7"/>
      <c r="F24" s="7"/>
      <c r="G24" s="7"/>
      <c r="H24" s="7"/>
      <c r="I24" s="7"/>
      <c r="J24" s="7"/>
      <c r="K24" s="7"/>
      <c r="L24" s="7"/>
      <c r="M24" s="7"/>
      <c r="N24" s="7"/>
      <c r="O24" s="7"/>
      <c r="P24" s="7"/>
      <c r="Q24" s="7"/>
      <c r="R24" s="7"/>
      <c r="S24" s="7"/>
      <c r="T24" s="7"/>
      <c r="U24" s="7"/>
      <c r="V24" s="7"/>
      <c r="W24" s="7"/>
      <c r="X24" s="7"/>
      <c r="Y24" s="7"/>
      <c r="Z24" s="7"/>
    </row>
    <row r="25">
      <c r="A25" s="11"/>
      <c r="B25" s="7"/>
      <c r="C25" s="7"/>
      <c r="D25" s="7"/>
      <c r="E25" s="7"/>
      <c r="F25" s="7"/>
      <c r="G25" s="7"/>
      <c r="H25" s="7"/>
      <c r="I25" s="7"/>
      <c r="J25" s="7"/>
      <c r="K25" s="7"/>
      <c r="L25" s="7"/>
      <c r="M25" s="7"/>
      <c r="N25" s="7"/>
      <c r="O25" s="7"/>
      <c r="P25" s="7"/>
      <c r="Q25" s="7"/>
      <c r="R25" s="7"/>
      <c r="S25" s="7"/>
      <c r="T25" s="7"/>
      <c r="U25" s="7"/>
      <c r="V25" s="7"/>
      <c r="W25" s="7"/>
      <c r="X25" s="7"/>
      <c r="Y25" s="7"/>
      <c r="Z25" s="7"/>
    </row>
    <row r="26">
      <c r="A26" s="11"/>
      <c r="B26" s="7"/>
      <c r="C26" s="7"/>
      <c r="D26" s="7"/>
      <c r="E26" s="7"/>
      <c r="F26" s="7"/>
      <c r="G26" s="7"/>
      <c r="H26" s="7"/>
      <c r="I26" s="7"/>
      <c r="J26" s="7"/>
      <c r="K26" s="7"/>
      <c r="L26" s="7"/>
      <c r="M26" s="7"/>
      <c r="N26" s="7"/>
      <c r="O26" s="7"/>
      <c r="P26" s="7"/>
      <c r="Q26" s="7"/>
      <c r="R26" s="7"/>
      <c r="S26" s="7"/>
      <c r="T26" s="7"/>
      <c r="U26" s="7"/>
      <c r="V26" s="7"/>
      <c r="W26" s="7"/>
      <c r="X26" s="7"/>
      <c r="Y26" s="7"/>
      <c r="Z26" s="7"/>
    </row>
    <row r="27">
      <c r="A27" s="11"/>
      <c r="B27" s="7"/>
      <c r="C27" s="7"/>
      <c r="D27" s="7"/>
      <c r="E27" s="7"/>
      <c r="F27" s="7"/>
      <c r="G27" s="7"/>
      <c r="H27" s="7"/>
      <c r="I27" s="7"/>
      <c r="J27" s="7"/>
      <c r="K27" s="7"/>
      <c r="L27" s="7"/>
      <c r="M27" s="7"/>
      <c r="N27" s="7"/>
      <c r="O27" s="7"/>
      <c r="P27" s="7"/>
      <c r="Q27" s="7"/>
      <c r="R27" s="7"/>
      <c r="S27" s="7"/>
      <c r="T27" s="7"/>
      <c r="U27" s="7"/>
      <c r="V27" s="7"/>
      <c r="W27" s="7"/>
      <c r="X27" s="7"/>
      <c r="Y27" s="7"/>
      <c r="Z27" s="7"/>
    </row>
    <row r="28">
      <c r="A28" s="11"/>
      <c r="B28" s="7"/>
      <c r="C28" s="7"/>
      <c r="D28" s="7"/>
      <c r="E28" s="7"/>
      <c r="F28" s="7"/>
      <c r="G28" s="7"/>
      <c r="H28" s="7"/>
      <c r="I28" s="7"/>
      <c r="J28" s="7"/>
      <c r="K28" s="7"/>
      <c r="L28" s="7"/>
      <c r="M28" s="7"/>
      <c r="N28" s="7"/>
      <c r="O28" s="7"/>
      <c r="P28" s="7"/>
      <c r="Q28" s="7"/>
      <c r="R28" s="7"/>
      <c r="S28" s="7"/>
      <c r="T28" s="7"/>
      <c r="U28" s="7"/>
      <c r="V28" s="7"/>
      <c r="W28" s="7"/>
      <c r="X28" s="7"/>
      <c r="Y28" s="7"/>
      <c r="Z28" s="7"/>
    </row>
    <row r="29">
      <c r="A29" s="11"/>
      <c r="B29" s="7"/>
      <c r="C29" s="7"/>
      <c r="D29" s="7"/>
      <c r="E29" s="7"/>
      <c r="F29" s="7"/>
      <c r="G29" s="7"/>
      <c r="H29" s="7"/>
      <c r="I29" s="7"/>
      <c r="J29" s="7"/>
      <c r="K29" s="7"/>
      <c r="L29" s="7"/>
      <c r="M29" s="7"/>
      <c r="N29" s="7"/>
      <c r="O29" s="7"/>
      <c r="P29" s="7"/>
      <c r="Q29" s="7"/>
      <c r="R29" s="7"/>
      <c r="S29" s="7"/>
      <c r="T29" s="7"/>
      <c r="U29" s="7"/>
      <c r="V29" s="7"/>
      <c r="W29" s="7"/>
      <c r="X29" s="7"/>
      <c r="Y29" s="7"/>
      <c r="Z29" s="7"/>
    </row>
    <row r="30">
      <c r="A30" s="11"/>
      <c r="B30" s="7"/>
      <c r="C30" s="7"/>
      <c r="D30" s="7"/>
      <c r="E30" s="7"/>
      <c r="F30" s="7"/>
      <c r="G30" s="7"/>
      <c r="H30" s="7"/>
      <c r="I30" s="7"/>
      <c r="J30" s="7"/>
      <c r="K30" s="7"/>
      <c r="L30" s="7"/>
      <c r="M30" s="7"/>
      <c r="N30" s="7"/>
      <c r="O30" s="7"/>
      <c r="P30" s="7"/>
      <c r="Q30" s="7"/>
      <c r="R30" s="7"/>
      <c r="S30" s="7"/>
      <c r="T30" s="7"/>
      <c r="U30" s="7"/>
      <c r="V30" s="7"/>
      <c r="W30" s="7"/>
      <c r="X30" s="7"/>
      <c r="Y30" s="7"/>
      <c r="Z30" s="7"/>
    </row>
    <row r="31">
      <c r="A31" s="11"/>
      <c r="B31" s="7"/>
      <c r="C31" s="7"/>
      <c r="D31" s="7"/>
      <c r="E31" s="7"/>
      <c r="F31" s="7"/>
      <c r="G31" s="7"/>
      <c r="H31" s="7"/>
      <c r="I31" s="7"/>
      <c r="J31" s="7"/>
      <c r="K31" s="7"/>
      <c r="L31" s="7"/>
      <c r="M31" s="7"/>
      <c r="N31" s="7"/>
      <c r="O31" s="7"/>
      <c r="P31" s="7"/>
      <c r="Q31" s="7"/>
      <c r="R31" s="7"/>
      <c r="S31" s="7"/>
      <c r="T31" s="7"/>
      <c r="U31" s="7"/>
      <c r="V31" s="7"/>
      <c r="W31" s="7"/>
      <c r="X31" s="7"/>
      <c r="Y31" s="7"/>
      <c r="Z31" s="7"/>
    </row>
    <row r="32">
      <c r="A32" s="10"/>
      <c r="B32" s="7"/>
      <c r="C32" s="7"/>
      <c r="D32" s="7"/>
      <c r="E32" s="7"/>
      <c r="F32" s="7"/>
      <c r="G32" s="7"/>
      <c r="H32" s="7"/>
      <c r="I32" s="7"/>
      <c r="J32" s="7"/>
      <c r="K32" s="7"/>
      <c r="L32" s="7"/>
      <c r="M32" s="7"/>
      <c r="N32" s="7"/>
      <c r="O32" s="7"/>
      <c r="P32" s="7"/>
      <c r="Q32" s="7"/>
      <c r="R32" s="7"/>
      <c r="S32" s="7"/>
      <c r="T32" s="7"/>
      <c r="U32" s="7"/>
      <c r="V32" s="7"/>
      <c r="W32" s="7"/>
      <c r="X32" s="7"/>
      <c r="Y32" s="7"/>
      <c r="Z32" s="7"/>
    </row>
    <row r="33">
      <c r="A33" s="11"/>
      <c r="B33" s="7"/>
      <c r="C33" s="7"/>
      <c r="D33" s="7"/>
      <c r="E33" s="7"/>
      <c r="F33" s="7"/>
      <c r="G33" s="7"/>
      <c r="H33" s="7"/>
      <c r="I33" s="7"/>
      <c r="J33" s="7"/>
      <c r="K33" s="7"/>
      <c r="L33" s="7"/>
      <c r="M33" s="7"/>
      <c r="N33" s="7"/>
      <c r="O33" s="7"/>
      <c r="P33" s="7"/>
      <c r="Q33" s="7"/>
      <c r="R33" s="7"/>
      <c r="S33" s="7"/>
      <c r="T33" s="7"/>
      <c r="U33" s="7"/>
      <c r="V33" s="7"/>
      <c r="W33" s="7"/>
      <c r="X33" s="7"/>
      <c r="Y33" s="7"/>
      <c r="Z33" s="7"/>
    </row>
    <row r="34">
      <c r="A34" s="11"/>
      <c r="B34" s="7"/>
      <c r="C34" s="7"/>
      <c r="D34" s="7"/>
      <c r="E34" s="7"/>
      <c r="F34" s="7"/>
      <c r="G34" s="7"/>
      <c r="H34" s="7"/>
      <c r="I34" s="7"/>
      <c r="J34" s="7"/>
      <c r="K34" s="7"/>
      <c r="L34" s="7"/>
      <c r="M34" s="7"/>
      <c r="N34" s="7"/>
      <c r="O34" s="7"/>
      <c r="P34" s="7"/>
      <c r="Q34" s="7"/>
      <c r="R34" s="7"/>
      <c r="S34" s="7"/>
      <c r="T34" s="7"/>
      <c r="U34" s="7"/>
      <c r="V34" s="7"/>
      <c r="W34" s="7"/>
      <c r="X34" s="7"/>
      <c r="Y34" s="7"/>
      <c r="Z34" s="7"/>
    </row>
    <row r="35">
      <c r="A35" s="11"/>
      <c r="B35" s="7"/>
      <c r="C35" s="7"/>
      <c r="D35" s="7"/>
      <c r="E35" s="7"/>
      <c r="F35" s="7"/>
      <c r="G35" s="7"/>
      <c r="H35" s="7"/>
      <c r="I35" s="7"/>
      <c r="J35" s="7"/>
      <c r="K35" s="7"/>
      <c r="L35" s="7"/>
      <c r="M35" s="7"/>
      <c r="N35" s="7"/>
      <c r="O35" s="7"/>
      <c r="P35" s="7"/>
      <c r="Q35" s="7"/>
      <c r="R35" s="7"/>
      <c r="S35" s="7"/>
      <c r="T35" s="7"/>
      <c r="U35" s="7"/>
      <c r="V35" s="7"/>
      <c r="W35" s="7"/>
      <c r="X35" s="7"/>
      <c r="Y35" s="7"/>
      <c r="Z35" s="7"/>
    </row>
    <row r="36">
      <c r="A36" s="11"/>
      <c r="B36" s="7"/>
      <c r="C36" s="7"/>
      <c r="D36" s="7"/>
      <c r="E36" s="7"/>
      <c r="F36" s="7"/>
      <c r="G36" s="7"/>
      <c r="H36" s="7"/>
      <c r="I36" s="7"/>
      <c r="J36" s="7"/>
      <c r="K36" s="7"/>
      <c r="L36" s="7"/>
      <c r="M36" s="7"/>
      <c r="N36" s="7"/>
      <c r="O36" s="7"/>
      <c r="P36" s="7"/>
      <c r="Q36" s="7"/>
      <c r="R36" s="7"/>
      <c r="S36" s="7"/>
      <c r="T36" s="7"/>
      <c r="U36" s="7"/>
      <c r="V36" s="7"/>
      <c r="W36" s="7"/>
      <c r="X36" s="7"/>
      <c r="Y36" s="7"/>
      <c r="Z36" s="7"/>
    </row>
    <row r="37">
      <c r="A37" s="11"/>
      <c r="B37" s="7"/>
      <c r="C37" s="7"/>
      <c r="D37" s="7"/>
      <c r="E37" s="7"/>
      <c r="F37" s="7"/>
      <c r="G37" s="7"/>
      <c r="H37" s="7"/>
      <c r="I37" s="7"/>
      <c r="J37" s="7"/>
      <c r="K37" s="7"/>
      <c r="L37" s="7"/>
      <c r="M37" s="7"/>
      <c r="N37" s="7"/>
      <c r="O37" s="7"/>
      <c r="P37" s="7"/>
      <c r="Q37" s="7"/>
      <c r="R37" s="7"/>
      <c r="S37" s="7"/>
      <c r="T37" s="7"/>
      <c r="U37" s="7"/>
      <c r="V37" s="7"/>
      <c r="W37" s="7"/>
      <c r="X37" s="7"/>
      <c r="Y37" s="7"/>
      <c r="Z37" s="7"/>
    </row>
    <row r="38">
      <c r="A38" s="11"/>
      <c r="B38" s="7"/>
      <c r="C38" s="7"/>
      <c r="D38" s="7"/>
      <c r="E38" s="7"/>
      <c r="F38" s="7"/>
      <c r="G38" s="7"/>
      <c r="H38" s="7"/>
      <c r="I38" s="7"/>
      <c r="J38" s="7"/>
      <c r="K38" s="7"/>
      <c r="L38" s="7"/>
      <c r="M38" s="7"/>
      <c r="N38" s="7"/>
      <c r="O38" s="7"/>
      <c r="P38" s="7"/>
      <c r="Q38" s="7"/>
      <c r="R38" s="7"/>
      <c r="S38" s="7"/>
      <c r="T38" s="7"/>
      <c r="U38" s="7"/>
      <c r="V38" s="7"/>
      <c r="W38" s="7"/>
      <c r="X38" s="7"/>
      <c r="Y38" s="7"/>
      <c r="Z38" s="7"/>
    </row>
    <row r="39">
      <c r="A39" s="11"/>
      <c r="B39" s="7"/>
      <c r="C39" s="7"/>
      <c r="D39" s="7"/>
      <c r="E39" s="7"/>
      <c r="F39" s="7"/>
      <c r="G39" s="7"/>
      <c r="H39" s="7"/>
      <c r="I39" s="7"/>
      <c r="J39" s="7"/>
      <c r="K39" s="7"/>
      <c r="L39" s="7"/>
      <c r="M39" s="7"/>
      <c r="N39" s="7"/>
      <c r="O39" s="7"/>
      <c r="P39" s="7"/>
      <c r="Q39" s="7"/>
      <c r="R39" s="7"/>
      <c r="S39" s="7"/>
      <c r="T39" s="7"/>
      <c r="U39" s="7"/>
      <c r="V39" s="7"/>
      <c r="W39" s="7"/>
      <c r="X39" s="7"/>
      <c r="Y39" s="7"/>
      <c r="Z39" s="7"/>
    </row>
    <row r="40">
      <c r="A40" s="11"/>
      <c r="B40" s="7"/>
      <c r="C40" s="7"/>
      <c r="D40" s="7"/>
      <c r="E40" s="7"/>
      <c r="F40" s="7"/>
      <c r="G40" s="7"/>
      <c r="H40" s="7"/>
      <c r="I40" s="7"/>
      <c r="J40" s="7"/>
      <c r="K40" s="7"/>
      <c r="L40" s="7"/>
      <c r="M40" s="7"/>
      <c r="N40" s="7"/>
      <c r="O40" s="7"/>
      <c r="P40" s="7"/>
      <c r="Q40" s="7"/>
      <c r="R40" s="7"/>
      <c r="S40" s="7"/>
      <c r="T40" s="7"/>
      <c r="U40" s="7"/>
      <c r="V40" s="7"/>
      <c r="W40" s="7"/>
      <c r="X40" s="7"/>
      <c r="Y40" s="7"/>
      <c r="Z40" s="7"/>
    </row>
    <row r="41">
      <c r="A41" s="11"/>
      <c r="B41" s="7"/>
      <c r="C41" s="7"/>
      <c r="D41" s="7"/>
      <c r="E41" s="7"/>
      <c r="F41" s="7"/>
      <c r="G41" s="7"/>
      <c r="H41" s="7"/>
      <c r="I41" s="7"/>
      <c r="J41" s="7"/>
      <c r="K41" s="7"/>
      <c r="L41" s="7"/>
      <c r="M41" s="7"/>
      <c r="N41" s="7"/>
      <c r="O41" s="7"/>
      <c r="P41" s="7"/>
      <c r="Q41" s="7"/>
      <c r="R41" s="7"/>
      <c r="S41" s="7"/>
      <c r="T41" s="7"/>
      <c r="U41" s="7"/>
      <c r="V41" s="7"/>
      <c r="W41" s="7"/>
      <c r="X41" s="7"/>
      <c r="Y41" s="7"/>
      <c r="Z41" s="7"/>
    </row>
    <row r="42">
      <c r="A42" s="10"/>
      <c r="B42" s="7"/>
      <c r="C42" s="7"/>
      <c r="D42" s="7"/>
      <c r="E42" s="7"/>
      <c r="F42" s="7"/>
      <c r="G42" s="7"/>
      <c r="H42" s="7"/>
      <c r="I42" s="7"/>
      <c r="J42" s="7"/>
      <c r="K42" s="7"/>
      <c r="L42" s="7"/>
      <c r="M42" s="7"/>
      <c r="N42" s="7"/>
      <c r="O42" s="7"/>
      <c r="P42" s="7"/>
      <c r="Q42" s="7"/>
      <c r="R42" s="7"/>
      <c r="S42" s="7"/>
      <c r="T42" s="7"/>
      <c r="U42" s="7"/>
      <c r="V42" s="7"/>
      <c r="W42" s="7"/>
      <c r="X42" s="7"/>
      <c r="Y42" s="7"/>
      <c r="Z42" s="7"/>
    </row>
    <row r="43">
      <c r="A43" s="11"/>
      <c r="B43" s="7"/>
      <c r="C43" s="7"/>
      <c r="D43" s="7"/>
      <c r="E43" s="7"/>
      <c r="F43" s="7"/>
      <c r="G43" s="7"/>
      <c r="H43" s="7"/>
      <c r="I43" s="7"/>
      <c r="J43" s="7"/>
      <c r="K43" s="7"/>
      <c r="L43" s="7"/>
      <c r="M43" s="7"/>
      <c r="N43" s="7"/>
      <c r="O43" s="7"/>
      <c r="P43" s="7"/>
      <c r="Q43" s="7"/>
      <c r="R43" s="7"/>
      <c r="S43" s="7"/>
      <c r="T43" s="7"/>
      <c r="U43" s="7"/>
      <c r="V43" s="7"/>
      <c r="W43" s="7"/>
      <c r="X43" s="7"/>
      <c r="Y43" s="7"/>
      <c r="Z43" s="7"/>
    </row>
    <row r="44">
      <c r="A44" s="11"/>
      <c r="B44" s="7"/>
      <c r="C44" s="7"/>
      <c r="D44" s="7"/>
      <c r="E44" s="7"/>
      <c r="F44" s="7"/>
      <c r="G44" s="7"/>
      <c r="H44" s="7"/>
      <c r="I44" s="7"/>
      <c r="J44" s="7"/>
      <c r="K44" s="7"/>
      <c r="L44" s="7"/>
      <c r="M44" s="7"/>
      <c r="N44" s="7"/>
      <c r="O44" s="7"/>
      <c r="P44" s="7"/>
      <c r="Q44" s="7"/>
      <c r="R44" s="7"/>
      <c r="S44" s="7"/>
      <c r="T44" s="7"/>
      <c r="U44" s="7"/>
      <c r="V44" s="7"/>
      <c r="W44" s="7"/>
      <c r="X44" s="7"/>
      <c r="Y44" s="7"/>
      <c r="Z44" s="7"/>
    </row>
    <row r="45">
      <c r="A45" s="11"/>
      <c r="B45" s="7"/>
      <c r="C45" s="7"/>
      <c r="D45" s="7"/>
      <c r="E45" s="7"/>
      <c r="F45" s="7"/>
      <c r="G45" s="7"/>
      <c r="H45" s="7"/>
      <c r="I45" s="7"/>
      <c r="J45" s="7"/>
      <c r="K45" s="7"/>
      <c r="L45" s="7"/>
      <c r="M45" s="7"/>
      <c r="N45" s="7"/>
      <c r="O45" s="7"/>
      <c r="P45" s="7"/>
      <c r="Q45" s="7"/>
      <c r="R45" s="7"/>
      <c r="S45" s="7"/>
      <c r="T45" s="7"/>
      <c r="U45" s="7"/>
      <c r="V45" s="7"/>
      <c r="W45" s="7"/>
      <c r="X45" s="7"/>
      <c r="Y45" s="7"/>
      <c r="Z45" s="7"/>
    </row>
    <row r="46">
      <c r="A46" s="11"/>
      <c r="B46" s="7"/>
      <c r="C46" s="7"/>
      <c r="D46" s="7"/>
      <c r="E46" s="7"/>
      <c r="F46" s="7"/>
      <c r="G46" s="7"/>
      <c r="H46" s="7"/>
      <c r="I46" s="7"/>
      <c r="J46" s="7"/>
      <c r="K46" s="7"/>
      <c r="L46" s="7"/>
      <c r="M46" s="7"/>
      <c r="N46" s="7"/>
      <c r="O46" s="7"/>
      <c r="P46" s="7"/>
      <c r="Q46" s="7"/>
      <c r="R46" s="7"/>
      <c r="S46" s="7"/>
      <c r="T46" s="7"/>
      <c r="U46" s="7"/>
      <c r="V46" s="7"/>
      <c r="W46" s="7"/>
      <c r="X46" s="7"/>
      <c r="Y46" s="7"/>
      <c r="Z46" s="7"/>
    </row>
    <row r="47">
      <c r="A47" s="11"/>
      <c r="B47" s="7"/>
      <c r="C47" s="7"/>
      <c r="D47" s="7"/>
      <c r="E47" s="7"/>
      <c r="F47" s="7"/>
      <c r="G47" s="7"/>
      <c r="H47" s="7"/>
      <c r="I47" s="7"/>
      <c r="J47" s="7"/>
      <c r="K47" s="7"/>
      <c r="L47" s="7"/>
      <c r="M47" s="7"/>
      <c r="N47" s="7"/>
      <c r="O47" s="7"/>
      <c r="P47" s="7"/>
      <c r="Q47" s="7"/>
      <c r="R47" s="7"/>
      <c r="S47" s="7"/>
      <c r="T47" s="7"/>
      <c r="U47" s="7"/>
      <c r="V47" s="7"/>
      <c r="W47" s="7"/>
      <c r="X47" s="7"/>
      <c r="Y47" s="7"/>
      <c r="Z47" s="7"/>
    </row>
    <row r="48">
      <c r="A48" s="11"/>
      <c r="B48" s="7"/>
      <c r="C48" s="7"/>
      <c r="D48" s="7"/>
      <c r="E48" s="7"/>
      <c r="F48" s="7"/>
      <c r="G48" s="7"/>
      <c r="H48" s="7"/>
      <c r="I48" s="7"/>
      <c r="J48" s="7"/>
      <c r="K48" s="7"/>
      <c r="L48" s="7"/>
      <c r="M48" s="7"/>
      <c r="N48" s="7"/>
      <c r="O48" s="7"/>
      <c r="P48" s="7"/>
      <c r="Q48" s="7"/>
      <c r="R48" s="7"/>
      <c r="S48" s="7"/>
      <c r="T48" s="7"/>
      <c r="U48" s="7"/>
      <c r="V48" s="7"/>
      <c r="W48" s="7"/>
      <c r="X48" s="7"/>
      <c r="Y48" s="7"/>
      <c r="Z48" s="7"/>
    </row>
    <row r="49">
      <c r="A49" s="11"/>
      <c r="B49" s="7"/>
      <c r="C49" s="7"/>
      <c r="D49" s="7"/>
      <c r="E49" s="7"/>
      <c r="F49" s="7"/>
      <c r="G49" s="7"/>
      <c r="H49" s="7"/>
      <c r="I49" s="7"/>
      <c r="J49" s="7"/>
      <c r="K49" s="7"/>
      <c r="L49" s="7"/>
      <c r="M49" s="7"/>
      <c r="N49" s="7"/>
      <c r="O49" s="7"/>
      <c r="P49" s="7"/>
      <c r="Q49" s="7"/>
      <c r="R49" s="7"/>
      <c r="S49" s="7"/>
      <c r="T49" s="7"/>
      <c r="U49" s="7"/>
      <c r="V49" s="7"/>
      <c r="W49" s="7"/>
      <c r="X49" s="7"/>
      <c r="Y49" s="7"/>
      <c r="Z49" s="7"/>
    </row>
    <row r="50">
      <c r="A50" s="11"/>
      <c r="B50" s="7"/>
      <c r="C50" s="7"/>
      <c r="D50" s="7"/>
      <c r="E50" s="7"/>
      <c r="F50" s="7"/>
      <c r="G50" s="7"/>
      <c r="H50" s="7"/>
      <c r="I50" s="7"/>
      <c r="J50" s="7"/>
      <c r="K50" s="7"/>
      <c r="L50" s="7"/>
      <c r="M50" s="7"/>
      <c r="N50" s="7"/>
      <c r="O50" s="7"/>
      <c r="P50" s="7"/>
      <c r="Q50" s="7"/>
      <c r="R50" s="7"/>
      <c r="S50" s="7"/>
      <c r="T50" s="7"/>
      <c r="U50" s="7"/>
      <c r="V50" s="7"/>
      <c r="W50" s="7"/>
      <c r="X50" s="7"/>
      <c r="Y50" s="7"/>
      <c r="Z50" s="7"/>
    </row>
    <row r="51">
      <c r="A51" s="11"/>
      <c r="B51" s="7"/>
      <c r="C51" s="7"/>
      <c r="D51" s="7"/>
      <c r="E51" s="7"/>
      <c r="F51" s="7"/>
      <c r="G51" s="7"/>
      <c r="H51" s="7"/>
      <c r="I51" s="7"/>
      <c r="J51" s="7"/>
      <c r="K51" s="7"/>
      <c r="L51" s="7"/>
      <c r="M51" s="7"/>
      <c r="N51" s="7"/>
      <c r="O51" s="7"/>
      <c r="P51" s="7"/>
      <c r="Q51" s="7"/>
      <c r="R51" s="7"/>
      <c r="S51" s="7"/>
      <c r="T51" s="7"/>
      <c r="U51" s="7"/>
      <c r="V51" s="7"/>
      <c r="W51" s="7"/>
      <c r="X51" s="7"/>
      <c r="Y51" s="7"/>
      <c r="Z51" s="7"/>
    </row>
    <row r="52">
      <c r="A52" s="10"/>
      <c r="B52" s="7"/>
      <c r="C52" s="7"/>
      <c r="D52" s="7"/>
      <c r="E52" s="7"/>
      <c r="F52" s="7"/>
      <c r="G52" s="7"/>
      <c r="H52" s="7"/>
      <c r="I52" s="7"/>
      <c r="J52" s="7"/>
      <c r="K52" s="7"/>
      <c r="L52" s="7"/>
      <c r="M52" s="7"/>
      <c r="N52" s="7"/>
      <c r="O52" s="7"/>
      <c r="P52" s="7"/>
      <c r="Q52" s="7"/>
      <c r="R52" s="7"/>
      <c r="S52" s="7"/>
      <c r="T52" s="7"/>
      <c r="U52" s="7"/>
      <c r="V52" s="7"/>
      <c r="W52" s="7"/>
      <c r="X52" s="7"/>
      <c r="Y52" s="7"/>
      <c r="Z52" s="7"/>
    </row>
    <row r="53">
      <c r="A53" s="11"/>
      <c r="B53" s="7"/>
      <c r="C53" s="7"/>
      <c r="D53" s="7"/>
      <c r="E53" s="7"/>
      <c r="F53" s="7"/>
      <c r="G53" s="7"/>
      <c r="H53" s="7"/>
      <c r="I53" s="7"/>
      <c r="J53" s="7"/>
      <c r="K53" s="7"/>
      <c r="L53" s="7"/>
      <c r="M53" s="7"/>
      <c r="N53" s="7"/>
      <c r="O53" s="7"/>
      <c r="P53" s="7"/>
      <c r="Q53" s="7"/>
      <c r="R53" s="7"/>
      <c r="S53" s="7"/>
      <c r="T53" s="7"/>
      <c r="U53" s="7"/>
      <c r="V53" s="7"/>
      <c r="W53" s="7"/>
      <c r="X53" s="7"/>
      <c r="Y53" s="7"/>
      <c r="Z53" s="7"/>
    </row>
    <row r="54">
      <c r="A54" s="11"/>
      <c r="B54" s="7"/>
      <c r="C54" s="7"/>
      <c r="D54" s="7"/>
      <c r="E54" s="7"/>
      <c r="F54" s="7"/>
      <c r="G54" s="7"/>
      <c r="H54" s="7"/>
      <c r="I54" s="7"/>
      <c r="J54" s="7"/>
      <c r="K54" s="7"/>
      <c r="L54" s="7"/>
      <c r="M54" s="7"/>
      <c r="N54" s="7"/>
      <c r="O54" s="7"/>
      <c r="P54" s="7"/>
      <c r="Q54" s="7"/>
      <c r="R54" s="7"/>
      <c r="S54" s="7"/>
      <c r="T54" s="7"/>
      <c r="U54" s="7"/>
      <c r="V54" s="7"/>
      <c r="W54" s="7"/>
      <c r="X54" s="7"/>
      <c r="Y54" s="7"/>
      <c r="Z54" s="7"/>
    </row>
    <row r="55">
      <c r="A55" s="11"/>
      <c r="B55" s="7"/>
      <c r="C55" s="7"/>
      <c r="D55" s="7"/>
      <c r="E55" s="7"/>
      <c r="F55" s="7"/>
      <c r="G55" s="7"/>
      <c r="H55" s="7"/>
      <c r="I55" s="7"/>
      <c r="J55" s="7"/>
      <c r="K55" s="7"/>
      <c r="L55" s="7"/>
      <c r="M55" s="7"/>
      <c r="N55" s="7"/>
      <c r="O55" s="7"/>
      <c r="P55" s="7"/>
      <c r="Q55" s="7"/>
      <c r="R55" s="7"/>
      <c r="S55" s="7"/>
      <c r="T55" s="7"/>
      <c r="U55" s="7"/>
      <c r="V55" s="7"/>
      <c r="W55" s="7"/>
      <c r="X55" s="7"/>
      <c r="Y55" s="7"/>
      <c r="Z55" s="7"/>
    </row>
    <row r="56">
      <c r="A56" s="11"/>
      <c r="B56" s="7"/>
      <c r="C56" s="7"/>
      <c r="D56" s="7"/>
      <c r="E56" s="7"/>
      <c r="F56" s="7"/>
      <c r="G56" s="7"/>
      <c r="H56" s="7"/>
      <c r="I56" s="7"/>
      <c r="J56" s="7"/>
      <c r="K56" s="7"/>
      <c r="L56" s="7"/>
      <c r="M56" s="7"/>
      <c r="N56" s="7"/>
      <c r="O56" s="7"/>
      <c r="P56" s="7"/>
      <c r="Q56" s="7"/>
      <c r="R56" s="7"/>
      <c r="S56" s="7"/>
      <c r="T56" s="7"/>
      <c r="U56" s="7"/>
      <c r="V56" s="7"/>
      <c r="W56" s="7"/>
      <c r="X56" s="7"/>
      <c r="Y56" s="7"/>
      <c r="Z56" s="7"/>
    </row>
    <row r="57">
      <c r="A57" s="11"/>
      <c r="B57" s="7"/>
      <c r="C57" s="7"/>
      <c r="D57" s="7"/>
      <c r="E57" s="7"/>
      <c r="F57" s="7"/>
      <c r="G57" s="7"/>
      <c r="H57" s="7"/>
      <c r="I57" s="7"/>
      <c r="J57" s="7"/>
      <c r="K57" s="7"/>
      <c r="L57" s="7"/>
      <c r="M57" s="7"/>
      <c r="N57" s="7"/>
      <c r="O57" s="7"/>
      <c r="P57" s="7"/>
      <c r="Q57" s="7"/>
      <c r="R57" s="7"/>
      <c r="S57" s="7"/>
      <c r="T57" s="7"/>
      <c r="U57" s="7"/>
      <c r="V57" s="7"/>
      <c r="W57" s="7"/>
      <c r="X57" s="7"/>
      <c r="Y57" s="7"/>
      <c r="Z57" s="7"/>
    </row>
    <row r="58">
      <c r="A58" s="11"/>
      <c r="B58" s="7"/>
      <c r="C58" s="7"/>
      <c r="D58" s="7"/>
      <c r="E58" s="7"/>
      <c r="F58" s="7"/>
      <c r="G58" s="7"/>
      <c r="H58" s="7"/>
      <c r="I58" s="7"/>
      <c r="J58" s="7"/>
      <c r="K58" s="7"/>
      <c r="L58" s="7"/>
      <c r="M58" s="7"/>
      <c r="N58" s="7"/>
      <c r="O58" s="7"/>
      <c r="P58" s="7"/>
      <c r="Q58" s="7"/>
      <c r="R58" s="7"/>
      <c r="S58" s="7"/>
      <c r="T58" s="7"/>
      <c r="U58" s="7"/>
      <c r="V58" s="7"/>
      <c r="W58" s="7"/>
      <c r="X58" s="7"/>
      <c r="Y58" s="7"/>
      <c r="Z58" s="7"/>
    </row>
    <row r="59">
      <c r="A59" s="11"/>
      <c r="B59" s="7"/>
      <c r="C59" s="7"/>
      <c r="D59" s="7"/>
      <c r="E59" s="7"/>
      <c r="F59" s="7"/>
      <c r="G59" s="7"/>
      <c r="H59" s="7"/>
      <c r="I59" s="7"/>
      <c r="J59" s="7"/>
      <c r="K59" s="7"/>
      <c r="L59" s="7"/>
      <c r="M59" s="7"/>
      <c r="N59" s="7"/>
      <c r="O59" s="7"/>
      <c r="P59" s="7"/>
      <c r="Q59" s="7"/>
      <c r="R59" s="7"/>
      <c r="S59" s="7"/>
      <c r="T59" s="7"/>
      <c r="U59" s="7"/>
      <c r="V59" s="7"/>
      <c r="W59" s="7"/>
      <c r="X59" s="7"/>
      <c r="Y59" s="7"/>
      <c r="Z59" s="7"/>
    </row>
    <row r="60">
      <c r="A60" s="11"/>
      <c r="B60" s="7"/>
      <c r="C60" s="7"/>
      <c r="D60" s="7"/>
      <c r="E60" s="7"/>
      <c r="F60" s="7"/>
      <c r="G60" s="7"/>
      <c r="H60" s="7"/>
      <c r="I60" s="7"/>
      <c r="J60" s="7"/>
      <c r="K60" s="7"/>
      <c r="L60" s="7"/>
      <c r="M60" s="7"/>
      <c r="N60" s="7"/>
      <c r="O60" s="7"/>
      <c r="P60" s="7"/>
      <c r="Q60" s="7"/>
      <c r="R60" s="7"/>
      <c r="S60" s="7"/>
      <c r="T60" s="7"/>
      <c r="U60" s="7"/>
      <c r="V60" s="7"/>
      <c r="W60" s="7"/>
      <c r="X60" s="7"/>
      <c r="Y60" s="7"/>
      <c r="Z60" s="7"/>
    </row>
    <row r="61">
      <c r="A61" s="11"/>
      <c r="B61" s="7"/>
      <c r="C61" s="7"/>
      <c r="D61" s="7"/>
      <c r="E61" s="7"/>
      <c r="F61" s="7"/>
      <c r="G61" s="7"/>
      <c r="H61" s="7"/>
      <c r="I61" s="7"/>
      <c r="J61" s="7"/>
      <c r="K61" s="7"/>
      <c r="L61" s="7"/>
      <c r="M61" s="7"/>
      <c r="N61" s="7"/>
      <c r="O61" s="7"/>
      <c r="P61" s="7"/>
      <c r="Q61" s="7"/>
      <c r="R61" s="7"/>
      <c r="S61" s="7"/>
      <c r="T61" s="7"/>
      <c r="U61" s="7"/>
      <c r="V61" s="7"/>
      <c r="W61" s="7"/>
      <c r="X61" s="7"/>
      <c r="Y61" s="7"/>
      <c r="Z61" s="7"/>
    </row>
    <row r="62">
      <c r="A62" s="10"/>
      <c r="B62" s="7"/>
      <c r="C62" s="7"/>
      <c r="D62" s="7"/>
      <c r="E62" s="7"/>
      <c r="F62" s="7"/>
      <c r="G62" s="7"/>
      <c r="H62" s="7"/>
      <c r="I62" s="7"/>
      <c r="J62" s="7"/>
      <c r="K62" s="7"/>
      <c r="L62" s="7"/>
      <c r="M62" s="7"/>
      <c r="N62" s="7"/>
      <c r="O62" s="7"/>
      <c r="P62" s="7"/>
      <c r="Q62" s="7"/>
      <c r="R62" s="7"/>
      <c r="S62" s="7"/>
      <c r="T62" s="7"/>
      <c r="U62" s="7"/>
      <c r="V62" s="7"/>
      <c r="W62" s="7"/>
      <c r="X62" s="7"/>
      <c r="Y62" s="7"/>
      <c r="Z62" s="7"/>
    </row>
    <row r="63">
      <c r="A63" s="11"/>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sheetData>
  <conditionalFormatting sqref="D2">
    <cfRule type="containsBlanks" dxfId="0" priority="1">
      <formula>LEN(TRIM(D2))=0</formula>
    </cfRule>
  </conditionalFormatting>
  <conditionalFormatting sqref="F7">
    <cfRule type="notContainsBlanks" dxfId="1" priority="2">
      <formula>LEN(TRIM(F7))&gt;0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78.38"/>
    <col customWidth="1" min="4" max="4" width="24.38"/>
    <col customWidth="1" min="6" max="6" width="63.0"/>
    <col customWidth="1" min="7" max="7" width="53.88"/>
  </cols>
  <sheetData>
    <row r="1">
      <c r="A1" s="12" t="s">
        <v>44</v>
      </c>
      <c r="B1" s="13" t="s">
        <v>45</v>
      </c>
      <c r="C1" s="13" t="s">
        <v>46</v>
      </c>
      <c r="D1" s="13" t="s">
        <v>47</v>
      </c>
      <c r="E1" s="13" t="s">
        <v>48</v>
      </c>
      <c r="F1" s="14"/>
      <c r="G1" s="14"/>
      <c r="H1" s="14"/>
      <c r="I1" s="14"/>
      <c r="J1" s="14"/>
      <c r="K1" s="14"/>
      <c r="L1" s="14"/>
      <c r="M1" s="14"/>
      <c r="N1" s="14"/>
      <c r="O1" s="14"/>
      <c r="P1" s="14"/>
      <c r="Q1" s="14"/>
      <c r="R1" s="14"/>
      <c r="S1" s="14"/>
      <c r="T1" s="14"/>
      <c r="U1" s="14"/>
      <c r="V1" s="14"/>
      <c r="W1" s="14"/>
      <c r="X1" s="14"/>
      <c r="Y1" s="14"/>
      <c r="Z1" s="14"/>
    </row>
    <row r="2">
      <c r="A2" s="15" t="s">
        <v>49</v>
      </c>
      <c r="B2" s="16" t="s">
        <v>50</v>
      </c>
      <c r="C2" s="16">
        <v>3.0</v>
      </c>
      <c r="D2" s="16">
        <v>1.0</v>
      </c>
      <c r="E2" s="16">
        <v>1.0</v>
      </c>
      <c r="F2" s="17" t="s">
        <v>51</v>
      </c>
      <c r="G2" s="18"/>
      <c r="H2" s="18"/>
      <c r="I2" s="18"/>
      <c r="J2" s="18"/>
      <c r="K2" s="18"/>
      <c r="L2" s="18"/>
      <c r="M2" s="18"/>
      <c r="N2" s="18"/>
      <c r="O2" s="18"/>
      <c r="P2" s="18"/>
      <c r="Q2" s="18"/>
      <c r="R2" s="18"/>
      <c r="S2" s="18"/>
      <c r="T2" s="18"/>
      <c r="U2" s="18"/>
      <c r="V2" s="18"/>
      <c r="W2" s="18"/>
      <c r="X2" s="18"/>
      <c r="Y2" s="18"/>
      <c r="Z2" s="18"/>
    </row>
    <row r="3">
      <c r="A3" s="15" t="s">
        <v>52</v>
      </c>
      <c r="B3" s="16" t="s">
        <v>53</v>
      </c>
      <c r="C3" s="16">
        <v>1.0</v>
      </c>
      <c r="D3" s="16">
        <v>1.0</v>
      </c>
      <c r="E3" s="16">
        <v>1.0</v>
      </c>
      <c r="F3" s="19"/>
      <c r="G3" s="20"/>
      <c r="H3" s="20"/>
      <c r="I3" s="20"/>
      <c r="J3" s="20"/>
      <c r="K3" s="20"/>
      <c r="L3" s="20"/>
      <c r="M3" s="20"/>
      <c r="N3" s="20"/>
      <c r="O3" s="20"/>
      <c r="P3" s="20"/>
      <c r="Q3" s="20"/>
      <c r="R3" s="20"/>
      <c r="S3" s="20"/>
      <c r="T3" s="20"/>
      <c r="U3" s="20"/>
      <c r="V3" s="20"/>
      <c r="W3" s="20"/>
      <c r="X3" s="20"/>
      <c r="Y3" s="20"/>
      <c r="Z3" s="20"/>
    </row>
    <row r="4">
      <c r="A4" s="15" t="s">
        <v>54</v>
      </c>
      <c r="B4" s="16" t="s">
        <v>55</v>
      </c>
      <c r="C4" s="16">
        <v>2.0</v>
      </c>
      <c r="D4" s="16">
        <v>1.0</v>
      </c>
      <c r="E4" s="16">
        <v>1.0</v>
      </c>
      <c r="F4" s="20"/>
      <c r="G4" s="20"/>
      <c r="H4" s="20"/>
      <c r="I4" s="20"/>
      <c r="J4" s="20"/>
      <c r="K4" s="20"/>
      <c r="L4" s="20"/>
      <c r="M4" s="20"/>
      <c r="N4" s="20"/>
      <c r="O4" s="20"/>
      <c r="P4" s="20"/>
      <c r="Q4" s="20"/>
      <c r="R4" s="20"/>
      <c r="S4" s="20"/>
      <c r="T4" s="20"/>
      <c r="U4" s="20"/>
      <c r="V4" s="20"/>
      <c r="W4" s="20"/>
      <c r="X4" s="20"/>
      <c r="Y4" s="20"/>
      <c r="Z4" s="20"/>
    </row>
    <row r="5">
      <c r="A5" s="15" t="s">
        <v>56</v>
      </c>
      <c r="B5" s="16" t="s">
        <v>57</v>
      </c>
      <c r="C5" s="16">
        <v>2.0</v>
      </c>
      <c r="D5" s="16">
        <v>1.0</v>
      </c>
      <c r="E5" s="16">
        <v>1.0</v>
      </c>
      <c r="F5" s="20"/>
      <c r="G5" s="20"/>
      <c r="H5" s="20"/>
      <c r="I5" s="20"/>
      <c r="J5" s="20"/>
      <c r="K5" s="20"/>
      <c r="L5" s="20"/>
      <c r="M5" s="20"/>
      <c r="N5" s="20"/>
      <c r="O5" s="20"/>
      <c r="P5" s="20"/>
      <c r="Q5" s="20"/>
      <c r="R5" s="20"/>
      <c r="S5" s="20"/>
      <c r="T5" s="20"/>
      <c r="U5" s="20"/>
      <c r="V5" s="20"/>
      <c r="W5" s="20"/>
      <c r="X5" s="20"/>
      <c r="Y5" s="20"/>
      <c r="Z5" s="20"/>
    </row>
    <row r="6">
      <c r="A6" s="15" t="s">
        <v>58</v>
      </c>
      <c r="B6" s="16" t="s">
        <v>59</v>
      </c>
      <c r="C6" s="16">
        <v>2.0</v>
      </c>
      <c r="D6" s="16">
        <v>1.0</v>
      </c>
      <c r="E6" s="16">
        <v>1.0</v>
      </c>
      <c r="F6" s="20"/>
      <c r="G6" s="20"/>
      <c r="H6" s="20"/>
      <c r="I6" s="20"/>
      <c r="J6" s="20"/>
      <c r="K6" s="20"/>
      <c r="L6" s="20"/>
      <c r="M6" s="20"/>
      <c r="N6" s="20"/>
      <c r="O6" s="20"/>
      <c r="P6" s="20"/>
      <c r="Q6" s="20"/>
      <c r="R6" s="20"/>
      <c r="S6" s="20"/>
      <c r="T6" s="20"/>
      <c r="U6" s="20"/>
      <c r="V6" s="20"/>
      <c r="W6" s="20"/>
      <c r="X6" s="20"/>
      <c r="Y6" s="20"/>
      <c r="Z6" s="20"/>
    </row>
    <row r="7">
      <c r="A7" s="15" t="s">
        <v>60</v>
      </c>
      <c r="B7" s="16" t="s">
        <v>61</v>
      </c>
      <c r="C7" s="16">
        <v>5.0</v>
      </c>
      <c r="D7" s="16">
        <v>1.0</v>
      </c>
      <c r="E7" s="16">
        <v>1.0</v>
      </c>
      <c r="F7" s="20"/>
      <c r="G7" s="20"/>
      <c r="H7" s="20"/>
      <c r="I7" s="20"/>
      <c r="J7" s="20"/>
      <c r="K7" s="20"/>
      <c r="L7" s="20"/>
      <c r="M7" s="20"/>
      <c r="N7" s="20"/>
      <c r="O7" s="20"/>
      <c r="P7" s="20"/>
      <c r="Q7" s="20"/>
      <c r="R7" s="20"/>
      <c r="S7" s="20"/>
      <c r="T7" s="20"/>
      <c r="U7" s="20"/>
      <c r="V7" s="20"/>
      <c r="W7" s="20"/>
      <c r="X7" s="20"/>
      <c r="Y7" s="20"/>
      <c r="Z7" s="20"/>
    </row>
    <row r="8">
      <c r="A8" s="15" t="s">
        <v>62</v>
      </c>
      <c r="B8" s="16" t="s">
        <v>63</v>
      </c>
      <c r="C8" s="16">
        <v>2.0</v>
      </c>
      <c r="D8" s="16">
        <v>3.0</v>
      </c>
      <c r="E8" s="16">
        <v>1.0</v>
      </c>
      <c r="F8" s="20"/>
      <c r="G8" s="20"/>
      <c r="H8" s="20"/>
      <c r="I8" s="20"/>
      <c r="J8" s="20"/>
      <c r="K8" s="20"/>
      <c r="L8" s="20"/>
      <c r="M8" s="20"/>
      <c r="N8" s="20"/>
      <c r="O8" s="20"/>
      <c r="P8" s="20"/>
      <c r="Q8" s="20"/>
      <c r="R8" s="20"/>
      <c r="S8" s="20"/>
      <c r="T8" s="20"/>
      <c r="U8" s="20"/>
      <c r="V8" s="20"/>
      <c r="W8" s="20"/>
      <c r="X8" s="20"/>
      <c r="Y8" s="20"/>
      <c r="Z8" s="20"/>
    </row>
    <row r="9">
      <c r="A9" s="15" t="s">
        <v>64</v>
      </c>
      <c r="B9" s="16" t="s">
        <v>65</v>
      </c>
      <c r="C9" s="16">
        <v>1.0</v>
      </c>
      <c r="D9" s="16">
        <v>1.0</v>
      </c>
      <c r="E9" s="16">
        <v>1.0</v>
      </c>
      <c r="F9" s="20"/>
      <c r="G9" s="20"/>
      <c r="H9" s="20"/>
      <c r="I9" s="20"/>
      <c r="J9" s="20"/>
      <c r="K9" s="20"/>
      <c r="L9" s="20"/>
      <c r="M9" s="20"/>
      <c r="N9" s="20"/>
      <c r="O9" s="20"/>
      <c r="P9" s="20"/>
      <c r="Q9" s="20"/>
      <c r="R9" s="20"/>
      <c r="S9" s="20"/>
      <c r="T9" s="20"/>
      <c r="U9" s="20"/>
      <c r="V9" s="20"/>
      <c r="W9" s="20"/>
      <c r="X9" s="20"/>
      <c r="Y9" s="20"/>
      <c r="Z9" s="20"/>
    </row>
    <row r="10">
      <c r="A10" s="15" t="s">
        <v>66</v>
      </c>
      <c r="B10" s="16" t="s">
        <v>67</v>
      </c>
      <c r="C10" s="16">
        <v>2.0</v>
      </c>
      <c r="D10" s="16">
        <v>1.0</v>
      </c>
      <c r="E10" s="16">
        <v>1.0</v>
      </c>
      <c r="F10" s="20"/>
      <c r="G10" s="20"/>
      <c r="H10" s="20"/>
      <c r="I10" s="20"/>
      <c r="J10" s="20"/>
      <c r="K10" s="20"/>
      <c r="L10" s="20"/>
      <c r="M10" s="20"/>
      <c r="N10" s="20"/>
      <c r="O10" s="20"/>
      <c r="P10" s="20"/>
      <c r="Q10" s="20"/>
      <c r="R10" s="20"/>
      <c r="S10" s="20"/>
      <c r="T10" s="20"/>
      <c r="U10" s="20"/>
      <c r="V10" s="20"/>
      <c r="W10" s="20"/>
      <c r="X10" s="20"/>
      <c r="Y10" s="20"/>
      <c r="Z10" s="20"/>
    </row>
    <row r="11">
      <c r="A11" s="15" t="s">
        <v>68</v>
      </c>
      <c r="B11" s="16" t="s">
        <v>69</v>
      </c>
      <c r="C11" s="16">
        <v>5.0</v>
      </c>
      <c r="D11" s="16">
        <v>1.0</v>
      </c>
      <c r="E11" s="16">
        <v>1.0</v>
      </c>
      <c r="F11" s="17" t="s">
        <v>70</v>
      </c>
      <c r="G11" s="21">
        <f>SUMIF(E:E, "1", C:C)</f>
        <v>30</v>
      </c>
      <c r="H11" s="20"/>
      <c r="I11" s="20"/>
      <c r="J11" s="20"/>
      <c r="K11" s="20"/>
      <c r="L11" s="20"/>
      <c r="M11" s="20"/>
      <c r="N11" s="20"/>
      <c r="O11" s="20"/>
      <c r="P11" s="20"/>
      <c r="Q11" s="20"/>
      <c r="R11" s="20"/>
      <c r="S11" s="20"/>
      <c r="T11" s="20"/>
      <c r="U11" s="20"/>
      <c r="V11" s="20"/>
      <c r="W11" s="20"/>
      <c r="X11" s="20"/>
      <c r="Y11" s="20"/>
      <c r="Z11" s="20"/>
    </row>
    <row r="12">
      <c r="A12" s="15" t="s">
        <v>71</v>
      </c>
      <c r="B12" s="16" t="s">
        <v>72</v>
      </c>
      <c r="C12" s="16">
        <v>1.0</v>
      </c>
      <c r="D12" s="16">
        <v>5.0</v>
      </c>
      <c r="E12" s="16">
        <v>1.0</v>
      </c>
      <c r="F12" s="19"/>
      <c r="G12" s="20"/>
      <c r="H12" s="20"/>
      <c r="I12" s="20"/>
      <c r="J12" s="20"/>
      <c r="K12" s="20"/>
      <c r="L12" s="20"/>
      <c r="M12" s="20"/>
      <c r="N12" s="20"/>
      <c r="O12" s="20"/>
      <c r="P12" s="20"/>
      <c r="Q12" s="20"/>
      <c r="R12" s="20"/>
      <c r="S12" s="20"/>
      <c r="T12" s="20"/>
      <c r="U12" s="20"/>
      <c r="V12" s="20"/>
      <c r="W12" s="20"/>
      <c r="X12" s="20"/>
      <c r="Y12" s="20"/>
      <c r="Z12" s="20"/>
    </row>
    <row r="13">
      <c r="A13" s="15" t="s">
        <v>73</v>
      </c>
      <c r="B13" s="16" t="s">
        <v>74</v>
      </c>
      <c r="C13" s="16">
        <v>2.0</v>
      </c>
      <c r="D13" s="16">
        <v>2.0</v>
      </c>
      <c r="E13" s="16">
        <v>1.0</v>
      </c>
      <c r="F13" s="19"/>
      <c r="G13" s="20"/>
      <c r="H13" s="20"/>
      <c r="I13" s="20"/>
      <c r="J13" s="20"/>
      <c r="K13" s="20"/>
      <c r="L13" s="20"/>
      <c r="M13" s="20"/>
      <c r="N13" s="20"/>
      <c r="O13" s="20"/>
      <c r="P13" s="20"/>
      <c r="Q13" s="20"/>
      <c r="R13" s="20"/>
      <c r="S13" s="20"/>
      <c r="T13" s="20"/>
      <c r="U13" s="20"/>
      <c r="V13" s="20"/>
      <c r="W13" s="20"/>
      <c r="X13" s="20"/>
      <c r="Y13" s="20"/>
      <c r="Z13" s="20"/>
    </row>
    <row r="14">
      <c r="A14" s="15" t="s">
        <v>75</v>
      </c>
      <c r="B14" s="22" t="s">
        <v>76</v>
      </c>
      <c r="C14" s="16">
        <v>2.0</v>
      </c>
      <c r="D14" s="16">
        <v>1.0</v>
      </c>
      <c r="E14" s="16">
        <v>1.0</v>
      </c>
      <c r="F14" s="20"/>
      <c r="G14" s="20"/>
      <c r="H14" s="20"/>
      <c r="I14" s="20"/>
      <c r="J14" s="20"/>
      <c r="K14" s="20"/>
      <c r="L14" s="20"/>
      <c r="M14" s="20"/>
      <c r="N14" s="20"/>
      <c r="O14" s="20"/>
      <c r="P14" s="20"/>
      <c r="Q14" s="20"/>
      <c r="R14" s="20"/>
      <c r="S14" s="20"/>
      <c r="T14" s="20"/>
      <c r="U14" s="20"/>
      <c r="V14" s="20"/>
      <c r="W14" s="20"/>
      <c r="X14" s="20"/>
      <c r="Y14" s="20"/>
      <c r="Z14" s="20"/>
    </row>
    <row r="15">
      <c r="A15" s="15" t="s">
        <v>77</v>
      </c>
      <c r="B15" s="16" t="s">
        <v>78</v>
      </c>
      <c r="C15" s="16">
        <v>1.0</v>
      </c>
      <c r="D15" s="16">
        <v>2.0</v>
      </c>
      <c r="E15" s="16">
        <v>2.0</v>
      </c>
      <c r="F15" s="20"/>
      <c r="G15" s="20"/>
      <c r="H15" s="20"/>
      <c r="I15" s="20"/>
      <c r="J15" s="20"/>
      <c r="K15" s="20"/>
      <c r="L15" s="20"/>
      <c r="M15" s="20"/>
      <c r="N15" s="20"/>
      <c r="O15" s="20"/>
      <c r="P15" s="20"/>
      <c r="Q15" s="20"/>
      <c r="R15" s="20"/>
      <c r="S15" s="20"/>
      <c r="T15" s="20"/>
      <c r="U15" s="20"/>
      <c r="V15" s="20"/>
      <c r="W15" s="20"/>
      <c r="X15" s="20"/>
      <c r="Y15" s="20"/>
      <c r="Z15" s="20"/>
    </row>
    <row r="16">
      <c r="A16" s="15" t="s">
        <v>79</v>
      </c>
      <c r="B16" s="16" t="s">
        <v>80</v>
      </c>
      <c r="C16" s="16">
        <v>3.0</v>
      </c>
      <c r="D16" s="16">
        <v>3.0</v>
      </c>
      <c r="E16" s="16">
        <v>2.0</v>
      </c>
      <c r="F16" s="20"/>
      <c r="G16" s="20"/>
      <c r="H16" s="20"/>
      <c r="I16" s="20"/>
      <c r="J16" s="20"/>
      <c r="K16" s="20"/>
      <c r="L16" s="20"/>
      <c r="M16" s="20"/>
      <c r="N16" s="20"/>
      <c r="O16" s="20"/>
      <c r="P16" s="20"/>
      <c r="Q16" s="20"/>
      <c r="R16" s="20"/>
      <c r="S16" s="20"/>
      <c r="T16" s="20"/>
      <c r="U16" s="20"/>
      <c r="V16" s="20"/>
      <c r="W16" s="20"/>
      <c r="X16" s="20"/>
      <c r="Y16" s="20"/>
      <c r="Z16" s="20"/>
    </row>
    <row r="17">
      <c r="A17" s="15" t="s">
        <v>81</v>
      </c>
      <c r="B17" s="16" t="s">
        <v>82</v>
      </c>
      <c r="C17" s="16">
        <v>3.0</v>
      </c>
      <c r="D17" s="16">
        <v>3.0</v>
      </c>
      <c r="E17" s="16">
        <v>2.0</v>
      </c>
      <c r="F17" s="20"/>
      <c r="G17" s="20"/>
      <c r="H17" s="20"/>
      <c r="I17" s="20"/>
      <c r="J17" s="20"/>
      <c r="K17" s="20"/>
      <c r="L17" s="20"/>
      <c r="M17" s="20"/>
      <c r="N17" s="20"/>
      <c r="O17" s="20"/>
      <c r="P17" s="20"/>
      <c r="Q17" s="20"/>
      <c r="R17" s="20"/>
      <c r="S17" s="20"/>
      <c r="T17" s="20"/>
      <c r="U17" s="20"/>
      <c r="V17" s="20"/>
      <c r="W17" s="20"/>
      <c r="X17" s="20"/>
      <c r="Y17" s="20"/>
      <c r="Z17" s="20"/>
    </row>
    <row r="18">
      <c r="A18" s="15" t="s">
        <v>83</v>
      </c>
      <c r="B18" s="16" t="s">
        <v>84</v>
      </c>
      <c r="C18" s="16">
        <v>2.0</v>
      </c>
      <c r="D18" s="16">
        <v>4.0</v>
      </c>
      <c r="E18" s="16">
        <v>2.0</v>
      </c>
      <c r="F18" s="20"/>
      <c r="G18" s="20"/>
      <c r="H18" s="20"/>
      <c r="I18" s="20"/>
      <c r="J18" s="20"/>
      <c r="K18" s="20"/>
      <c r="L18" s="20"/>
      <c r="M18" s="20"/>
      <c r="N18" s="20"/>
      <c r="O18" s="20"/>
      <c r="P18" s="20"/>
      <c r="Q18" s="20"/>
      <c r="R18" s="20"/>
      <c r="S18" s="20"/>
      <c r="T18" s="20"/>
      <c r="U18" s="20"/>
      <c r="V18" s="20"/>
      <c r="W18" s="20"/>
      <c r="X18" s="20"/>
      <c r="Y18" s="20"/>
      <c r="Z18" s="20"/>
    </row>
    <row r="19">
      <c r="A19" s="15" t="s">
        <v>85</v>
      </c>
      <c r="B19" s="16" t="s">
        <v>86</v>
      </c>
      <c r="C19" s="16">
        <v>2.0</v>
      </c>
      <c r="D19" s="16">
        <v>1.0</v>
      </c>
      <c r="E19" s="16">
        <v>2.0</v>
      </c>
      <c r="F19" s="20"/>
      <c r="G19" s="20"/>
      <c r="H19" s="20"/>
      <c r="I19" s="20"/>
      <c r="J19" s="20"/>
      <c r="K19" s="20"/>
      <c r="L19" s="20"/>
      <c r="M19" s="20"/>
      <c r="N19" s="20"/>
      <c r="O19" s="20"/>
      <c r="P19" s="20"/>
      <c r="Q19" s="20"/>
      <c r="R19" s="20"/>
      <c r="S19" s="20"/>
      <c r="T19" s="20"/>
      <c r="U19" s="20"/>
      <c r="V19" s="20"/>
      <c r="W19" s="20"/>
      <c r="X19" s="20"/>
      <c r="Y19" s="20"/>
      <c r="Z19" s="20"/>
    </row>
    <row r="20">
      <c r="A20" s="15" t="s">
        <v>87</v>
      </c>
      <c r="B20" s="16" t="s">
        <v>88</v>
      </c>
      <c r="C20" s="16">
        <v>1.0</v>
      </c>
      <c r="D20" s="16">
        <v>4.0</v>
      </c>
      <c r="E20" s="16">
        <v>2.0</v>
      </c>
      <c r="F20" s="20"/>
      <c r="G20" s="20"/>
      <c r="H20" s="20"/>
      <c r="I20" s="20"/>
      <c r="J20" s="20"/>
      <c r="K20" s="20"/>
      <c r="L20" s="20"/>
      <c r="M20" s="20"/>
      <c r="N20" s="20"/>
      <c r="O20" s="20"/>
      <c r="P20" s="20"/>
      <c r="Q20" s="20"/>
      <c r="R20" s="20"/>
      <c r="S20" s="20"/>
      <c r="T20" s="20"/>
      <c r="U20" s="20"/>
      <c r="V20" s="20"/>
      <c r="W20" s="20"/>
      <c r="X20" s="20"/>
      <c r="Y20" s="20"/>
      <c r="Z20" s="20"/>
    </row>
    <row r="21">
      <c r="A21" s="15" t="s">
        <v>89</v>
      </c>
      <c r="B21" s="16" t="s">
        <v>90</v>
      </c>
      <c r="C21" s="16">
        <v>2.0</v>
      </c>
      <c r="D21" s="16">
        <v>3.0</v>
      </c>
      <c r="E21" s="16">
        <v>2.0</v>
      </c>
      <c r="F21" s="20"/>
      <c r="G21" s="20"/>
      <c r="H21" s="20"/>
      <c r="I21" s="20"/>
      <c r="J21" s="20"/>
      <c r="K21" s="20"/>
      <c r="L21" s="20"/>
      <c r="M21" s="20"/>
      <c r="N21" s="20"/>
      <c r="O21" s="20"/>
      <c r="P21" s="20"/>
      <c r="Q21" s="20"/>
      <c r="R21" s="20"/>
      <c r="S21" s="20"/>
      <c r="T21" s="20"/>
      <c r="U21" s="20"/>
      <c r="V21" s="20"/>
      <c r="W21" s="20"/>
      <c r="X21" s="20"/>
      <c r="Y21" s="20"/>
      <c r="Z21" s="20"/>
    </row>
    <row r="22">
      <c r="A22" s="15" t="s">
        <v>91</v>
      </c>
      <c r="B22" s="16" t="s">
        <v>92</v>
      </c>
      <c r="C22" s="16">
        <v>1.0</v>
      </c>
      <c r="D22" s="16">
        <v>4.0</v>
      </c>
      <c r="E22" s="16">
        <v>2.0</v>
      </c>
      <c r="F22" s="20"/>
      <c r="G22" s="20"/>
      <c r="H22" s="20"/>
      <c r="I22" s="20"/>
      <c r="J22" s="20"/>
      <c r="K22" s="20"/>
      <c r="L22" s="20"/>
      <c r="M22" s="20"/>
      <c r="N22" s="20"/>
      <c r="O22" s="20"/>
      <c r="P22" s="20"/>
      <c r="Q22" s="20"/>
      <c r="R22" s="20"/>
      <c r="S22" s="20"/>
      <c r="T22" s="20"/>
      <c r="U22" s="20"/>
      <c r="V22" s="20"/>
      <c r="W22" s="20"/>
      <c r="X22" s="20"/>
      <c r="Y22" s="20"/>
      <c r="Z22" s="20"/>
    </row>
    <row r="23">
      <c r="A23" s="15" t="s">
        <v>93</v>
      </c>
      <c r="B23" s="16" t="s">
        <v>94</v>
      </c>
      <c r="C23" s="16">
        <v>1.0</v>
      </c>
      <c r="D23" s="16">
        <v>1.0</v>
      </c>
      <c r="E23" s="16">
        <v>2.0</v>
      </c>
      <c r="F23" s="20"/>
      <c r="G23" s="20"/>
      <c r="H23" s="20"/>
      <c r="I23" s="20"/>
      <c r="J23" s="20"/>
      <c r="K23" s="20"/>
      <c r="L23" s="20"/>
      <c r="M23" s="20"/>
      <c r="N23" s="20"/>
      <c r="O23" s="20"/>
      <c r="P23" s="20"/>
      <c r="Q23" s="20"/>
      <c r="R23" s="20"/>
      <c r="S23" s="20"/>
      <c r="T23" s="20"/>
      <c r="U23" s="20"/>
      <c r="V23" s="20"/>
      <c r="W23" s="20"/>
      <c r="X23" s="20"/>
      <c r="Y23" s="20"/>
      <c r="Z23" s="20"/>
    </row>
    <row r="24">
      <c r="A24" s="15" t="s">
        <v>95</v>
      </c>
      <c r="B24" s="16" t="s">
        <v>96</v>
      </c>
      <c r="C24" s="16">
        <v>5.0</v>
      </c>
      <c r="D24" s="16">
        <v>2.0</v>
      </c>
      <c r="E24" s="16">
        <v>2.0</v>
      </c>
      <c r="F24" s="20"/>
      <c r="G24" s="20"/>
      <c r="H24" s="20"/>
      <c r="I24" s="20"/>
      <c r="J24" s="20"/>
      <c r="K24" s="20"/>
      <c r="L24" s="20"/>
      <c r="M24" s="20"/>
      <c r="N24" s="20"/>
      <c r="O24" s="20"/>
      <c r="P24" s="20"/>
      <c r="Q24" s="20"/>
      <c r="R24" s="20"/>
      <c r="S24" s="20"/>
      <c r="T24" s="20"/>
      <c r="U24" s="20"/>
      <c r="V24" s="20"/>
      <c r="W24" s="20"/>
      <c r="X24" s="20"/>
      <c r="Y24" s="20"/>
      <c r="Z24" s="20"/>
    </row>
    <row r="25">
      <c r="A25" s="15" t="s">
        <v>97</v>
      </c>
      <c r="B25" s="16" t="s">
        <v>98</v>
      </c>
      <c r="C25" s="16">
        <v>2.0</v>
      </c>
      <c r="D25" s="16">
        <v>3.0</v>
      </c>
      <c r="E25" s="16">
        <v>2.0</v>
      </c>
      <c r="F25" s="19"/>
      <c r="G25" s="20"/>
      <c r="H25" s="20"/>
      <c r="I25" s="20"/>
      <c r="J25" s="20"/>
      <c r="K25" s="20"/>
      <c r="L25" s="20"/>
      <c r="M25" s="20"/>
      <c r="N25" s="20"/>
      <c r="O25" s="20"/>
      <c r="P25" s="20"/>
      <c r="Q25" s="20"/>
      <c r="R25" s="20"/>
      <c r="S25" s="20"/>
      <c r="T25" s="20"/>
      <c r="U25" s="20"/>
      <c r="V25" s="20"/>
      <c r="W25" s="20"/>
      <c r="X25" s="20"/>
      <c r="Y25" s="20"/>
      <c r="Z25" s="20"/>
    </row>
    <row r="26">
      <c r="A26" s="15" t="s">
        <v>99</v>
      </c>
      <c r="B26" s="16" t="s">
        <v>100</v>
      </c>
      <c r="C26" s="16">
        <v>2.0</v>
      </c>
      <c r="D26" s="16">
        <v>5.0</v>
      </c>
      <c r="E26" s="16">
        <v>2.0</v>
      </c>
      <c r="F26" s="21" t="s">
        <v>101</v>
      </c>
      <c r="G26" s="21">
        <f>SUMIF(E:E, "2", C:C)</f>
        <v>27</v>
      </c>
      <c r="H26" s="20"/>
      <c r="I26" s="20"/>
      <c r="J26" s="20"/>
      <c r="K26" s="20"/>
      <c r="L26" s="20"/>
      <c r="M26" s="20"/>
      <c r="N26" s="20"/>
      <c r="O26" s="20"/>
      <c r="P26" s="20"/>
      <c r="Q26" s="20"/>
      <c r="R26" s="20"/>
      <c r="S26" s="20"/>
      <c r="T26" s="20"/>
      <c r="U26" s="20"/>
      <c r="V26" s="20"/>
      <c r="W26" s="20"/>
      <c r="X26" s="20"/>
      <c r="Y26" s="20"/>
      <c r="Z26" s="20"/>
    </row>
    <row r="27">
      <c r="A27" s="15" t="s">
        <v>102</v>
      </c>
      <c r="B27" s="22" t="s">
        <v>103</v>
      </c>
      <c r="C27" s="22">
        <v>2.0</v>
      </c>
      <c r="D27" s="16">
        <v>1.0</v>
      </c>
      <c r="E27" s="16">
        <v>2.0</v>
      </c>
      <c r="F27" s="20"/>
      <c r="G27" s="20"/>
      <c r="H27" s="20"/>
      <c r="I27" s="20"/>
      <c r="J27" s="20"/>
      <c r="K27" s="20"/>
      <c r="L27" s="20"/>
      <c r="M27" s="20"/>
      <c r="N27" s="20"/>
      <c r="O27" s="20"/>
      <c r="P27" s="20"/>
      <c r="Q27" s="20"/>
      <c r="R27" s="20"/>
      <c r="S27" s="20"/>
      <c r="T27" s="20"/>
      <c r="U27" s="20"/>
      <c r="V27" s="20"/>
      <c r="W27" s="20"/>
      <c r="X27" s="20"/>
      <c r="Y27" s="20"/>
      <c r="Z27" s="20"/>
    </row>
    <row r="28">
      <c r="A28" s="15" t="s">
        <v>104</v>
      </c>
      <c r="B28" s="16" t="s">
        <v>105</v>
      </c>
      <c r="C28" s="16">
        <v>3.0</v>
      </c>
      <c r="D28" s="16">
        <v>1.0</v>
      </c>
      <c r="E28" s="16">
        <v>3.0</v>
      </c>
      <c r="F28" s="20"/>
      <c r="G28" s="20"/>
      <c r="H28" s="20"/>
      <c r="I28" s="20"/>
      <c r="J28" s="20"/>
      <c r="K28" s="20"/>
      <c r="L28" s="20"/>
      <c r="M28" s="20"/>
      <c r="N28" s="20"/>
      <c r="O28" s="20"/>
      <c r="P28" s="20"/>
      <c r="Q28" s="20"/>
      <c r="R28" s="20"/>
      <c r="S28" s="20"/>
      <c r="T28" s="20"/>
      <c r="U28" s="20"/>
      <c r="V28" s="20"/>
      <c r="W28" s="20"/>
      <c r="X28" s="20"/>
      <c r="Y28" s="20"/>
      <c r="Z28" s="20"/>
    </row>
    <row r="29">
      <c r="A29" s="15" t="s">
        <v>106</v>
      </c>
      <c r="B29" s="16" t="s">
        <v>107</v>
      </c>
      <c r="C29" s="16">
        <v>3.0</v>
      </c>
      <c r="D29" s="16">
        <v>1.0</v>
      </c>
      <c r="E29" s="16">
        <v>3.0</v>
      </c>
      <c r="F29" s="20"/>
      <c r="G29" s="20"/>
      <c r="H29" s="20"/>
      <c r="I29" s="20"/>
      <c r="J29" s="20"/>
      <c r="K29" s="20"/>
      <c r="L29" s="20"/>
      <c r="M29" s="20"/>
      <c r="N29" s="20"/>
      <c r="O29" s="20"/>
      <c r="P29" s="20"/>
      <c r="Q29" s="20"/>
      <c r="R29" s="20"/>
      <c r="S29" s="20"/>
      <c r="T29" s="20"/>
      <c r="U29" s="20"/>
      <c r="V29" s="20"/>
      <c r="W29" s="20"/>
      <c r="X29" s="20"/>
      <c r="Y29" s="20"/>
      <c r="Z29" s="20"/>
    </row>
    <row r="30">
      <c r="A30" s="15" t="s">
        <v>108</v>
      </c>
      <c r="B30" s="16" t="s">
        <v>109</v>
      </c>
      <c r="C30" s="16">
        <v>1.0</v>
      </c>
      <c r="D30" s="16">
        <v>5.0</v>
      </c>
      <c r="E30" s="16">
        <v>3.0</v>
      </c>
      <c r="F30" s="20"/>
      <c r="G30" s="20"/>
      <c r="H30" s="20"/>
      <c r="I30" s="20"/>
      <c r="J30" s="20"/>
      <c r="K30" s="20"/>
      <c r="L30" s="20"/>
      <c r="M30" s="20"/>
      <c r="N30" s="20"/>
      <c r="O30" s="20"/>
      <c r="P30" s="20"/>
      <c r="Q30" s="20"/>
      <c r="R30" s="20"/>
      <c r="S30" s="20"/>
      <c r="T30" s="20"/>
      <c r="U30" s="20"/>
      <c r="V30" s="20"/>
      <c r="W30" s="20"/>
      <c r="X30" s="20"/>
      <c r="Y30" s="20"/>
      <c r="Z30" s="20"/>
    </row>
    <row r="31">
      <c r="A31" s="15" t="s">
        <v>110</v>
      </c>
      <c r="B31" s="16" t="s">
        <v>111</v>
      </c>
      <c r="C31" s="16">
        <v>3.0</v>
      </c>
      <c r="D31" s="16">
        <v>4.0</v>
      </c>
      <c r="E31" s="16">
        <v>3.0</v>
      </c>
      <c r="F31" s="20"/>
      <c r="G31" s="20"/>
      <c r="H31" s="20"/>
      <c r="I31" s="20"/>
      <c r="J31" s="20"/>
      <c r="K31" s="20"/>
      <c r="L31" s="20"/>
      <c r="M31" s="20"/>
      <c r="N31" s="20"/>
      <c r="O31" s="20"/>
      <c r="P31" s="20"/>
      <c r="Q31" s="20"/>
      <c r="R31" s="20"/>
      <c r="S31" s="20"/>
      <c r="T31" s="20"/>
      <c r="U31" s="20"/>
      <c r="V31" s="20"/>
      <c r="W31" s="20"/>
      <c r="X31" s="20"/>
      <c r="Y31" s="20"/>
      <c r="Z31" s="20"/>
    </row>
    <row r="32">
      <c r="A32" s="15" t="s">
        <v>112</v>
      </c>
      <c r="B32" s="16" t="s">
        <v>113</v>
      </c>
      <c r="C32" s="16">
        <v>2.0</v>
      </c>
      <c r="D32" s="16">
        <v>5.0</v>
      </c>
      <c r="E32" s="16">
        <v>3.0</v>
      </c>
      <c r="F32" s="20"/>
      <c r="G32" s="20"/>
      <c r="H32" s="20"/>
      <c r="I32" s="20"/>
      <c r="J32" s="20"/>
      <c r="K32" s="20"/>
      <c r="L32" s="20"/>
      <c r="M32" s="20"/>
      <c r="N32" s="20"/>
      <c r="O32" s="20"/>
      <c r="P32" s="20"/>
      <c r="Q32" s="20"/>
      <c r="R32" s="20"/>
      <c r="S32" s="20"/>
      <c r="T32" s="20"/>
      <c r="U32" s="20"/>
      <c r="V32" s="20"/>
      <c r="W32" s="20"/>
      <c r="X32" s="20"/>
      <c r="Y32" s="20"/>
      <c r="Z32" s="20"/>
    </row>
    <row r="33">
      <c r="A33" s="15" t="s">
        <v>114</v>
      </c>
      <c r="B33" s="16" t="s">
        <v>115</v>
      </c>
      <c r="C33" s="16">
        <v>2.0</v>
      </c>
      <c r="D33" s="16">
        <v>2.0</v>
      </c>
      <c r="E33" s="16">
        <v>3.0</v>
      </c>
      <c r="F33" s="20"/>
      <c r="G33" s="20"/>
      <c r="H33" s="20"/>
      <c r="I33" s="20"/>
      <c r="J33" s="20"/>
      <c r="K33" s="20"/>
      <c r="L33" s="20"/>
      <c r="M33" s="20"/>
      <c r="N33" s="20"/>
      <c r="O33" s="20"/>
      <c r="P33" s="20"/>
      <c r="Q33" s="20"/>
      <c r="R33" s="20"/>
      <c r="S33" s="20"/>
      <c r="T33" s="20"/>
      <c r="U33" s="20"/>
      <c r="V33" s="20"/>
      <c r="W33" s="20"/>
      <c r="X33" s="20"/>
      <c r="Y33" s="20"/>
      <c r="Z33" s="20"/>
    </row>
    <row r="34">
      <c r="A34" s="15" t="s">
        <v>116</v>
      </c>
      <c r="B34" s="16" t="s">
        <v>117</v>
      </c>
      <c r="C34" s="16">
        <v>1.0</v>
      </c>
      <c r="D34" s="16">
        <v>3.0</v>
      </c>
      <c r="E34" s="16">
        <v>3.0</v>
      </c>
      <c r="F34" s="19"/>
      <c r="G34" s="20"/>
      <c r="H34" s="20"/>
      <c r="I34" s="20"/>
      <c r="J34" s="20"/>
      <c r="K34" s="20"/>
      <c r="L34" s="20"/>
      <c r="M34" s="20"/>
      <c r="N34" s="20"/>
      <c r="O34" s="20"/>
      <c r="P34" s="20"/>
      <c r="Q34" s="20"/>
      <c r="R34" s="20"/>
      <c r="S34" s="20"/>
      <c r="T34" s="20"/>
      <c r="U34" s="20"/>
      <c r="V34" s="20"/>
      <c r="W34" s="20"/>
      <c r="X34" s="20"/>
      <c r="Y34" s="20"/>
      <c r="Z34" s="20"/>
    </row>
    <row r="35">
      <c r="A35" s="15" t="s">
        <v>118</v>
      </c>
      <c r="B35" s="16" t="s">
        <v>119</v>
      </c>
      <c r="C35" s="16">
        <v>2.0</v>
      </c>
      <c r="D35" s="16">
        <v>5.0</v>
      </c>
      <c r="E35" s="16">
        <v>3.0</v>
      </c>
      <c r="F35" s="19"/>
      <c r="G35" s="20"/>
      <c r="H35" s="20"/>
      <c r="I35" s="20"/>
      <c r="J35" s="20"/>
      <c r="K35" s="20"/>
      <c r="L35" s="20"/>
      <c r="M35" s="20"/>
      <c r="N35" s="20"/>
      <c r="O35" s="20"/>
      <c r="P35" s="20"/>
      <c r="Q35" s="20"/>
      <c r="R35" s="20"/>
      <c r="S35" s="20"/>
      <c r="T35" s="20"/>
      <c r="U35" s="20"/>
      <c r="V35" s="20"/>
      <c r="W35" s="20"/>
      <c r="X35" s="20"/>
      <c r="Y35" s="20"/>
      <c r="Z35" s="20"/>
    </row>
    <row r="36">
      <c r="A36" s="15" t="s">
        <v>120</v>
      </c>
      <c r="B36" s="16" t="s">
        <v>121</v>
      </c>
      <c r="C36" s="16">
        <v>5.0</v>
      </c>
      <c r="D36" s="16">
        <v>3.0</v>
      </c>
      <c r="E36" s="16">
        <v>3.0</v>
      </c>
      <c r="F36" s="17" t="s">
        <v>122</v>
      </c>
      <c r="G36" s="21">
        <f>SUMIF(E:E, "3", C:C)</f>
        <v>24</v>
      </c>
      <c r="H36" s="20"/>
      <c r="I36" s="20"/>
      <c r="J36" s="20"/>
      <c r="K36" s="20"/>
      <c r="L36" s="20"/>
      <c r="M36" s="20"/>
      <c r="N36" s="20"/>
      <c r="O36" s="20"/>
      <c r="P36" s="20"/>
      <c r="Q36" s="20"/>
      <c r="R36" s="20"/>
      <c r="S36" s="20"/>
      <c r="T36" s="20"/>
      <c r="U36" s="20"/>
      <c r="V36" s="20"/>
      <c r="W36" s="20"/>
      <c r="X36" s="20"/>
      <c r="Y36" s="20"/>
      <c r="Z36" s="20"/>
    </row>
    <row r="37">
      <c r="A37" s="15" t="s">
        <v>123</v>
      </c>
      <c r="B37" s="22" t="s">
        <v>124</v>
      </c>
      <c r="C37" s="22">
        <v>2.0</v>
      </c>
      <c r="D37" s="16">
        <v>1.0</v>
      </c>
      <c r="E37" s="16">
        <v>3.0</v>
      </c>
      <c r="F37" s="20"/>
      <c r="G37" s="20"/>
      <c r="H37" s="20"/>
      <c r="I37" s="20"/>
      <c r="J37" s="20"/>
      <c r="K37" s="20"/>
      <c r="L37" s="20"/>
      <c r="M37" s="20"/>
      <c r="N37" s="20"/>
      <c r="O37" s="20"/>
      <c r="P37" s="20"/>
      <c r="Q37" s="20"/>
      <c r="R37" s="20"/>
      <c r="S37" s="20"/>
      <c r="T37" s="20"/>
      <c r="U37" s="20"/>
      <c r="V37" s="20"/>
      <c r="W37" s="20"/>
      <c r="X37" s="20"/>
      <c r="Y37" s="20"/>
      <c r="Z37" s="20"/>
    </row>
    <row r="38">
      <c r="A38" s="15" t="s">
        <v>125</v>
      </c>
      <c r="B38" s="16" t="s">
        <v>126</v>
      </c>
      <c r="C38" s="16">
        <v>3.0</v>
      </c>
      <c r="D38" s="16">
        <v>1.0</v>
      </c>
      <c r="E38" s="16">
        <v>4.0</v>
      </c>
      <c r="F38" s="20"/>
      <c r="G38" s="20"/>
      <c r="H38" s="20"/>
      <c r="I38" s="20"/>
      <c r="J38" s="20"/>
      <c r="K38" s="20"/>
      <c r="L38" s="20"/>
      <c r="M38" s="20"/>
      <c r="N38" s="20"/>
      <c r="O38" s="20"/>
      <c r="P38" s="20"/>
      <c r="Q38" s="20"/>
      <c r="R38" s="20"/>
      <c r="S38" s="20"/>
      <c r="T38" s="20"/>
      <c r="U38" s="20"/>
      <c r="V38" s="20"/>
      <c r="W38" s="20"/>
      <c r="X38" s="20"/>
      <c r="Y38" s="20"/>
      <c r="Z38" s="20"/>
    </row>
    <row r="39">
      <c r="A39" s="15" t="s">
        <v>127</v>
      </c>
      <c r="B39" s="16" t="s">
        <v>128</v>
      </c>
      <c r="C39" s="16">
        <v>2.0</v>
      </c>
      <c r="D39" s="16">
        <v>1.0</v>
      </c>
      <c r="E39" s="16">
        <v>4.0</v>
      </c>
      <c r="F39" s="20"/>
      <c r="G39" s="20"/>
      <c r="H39" s="20"/>
      <c r="I39" s="20"/>
      <c r="J39" s="20"/>
      <c r="K39" s="20"/>
      <c r="L39" s="20"/>
      <c r="M39" s="20"/>
      <c r="N39" s="20"/>
      <c r="O39" s="20"/>
      <c r="P39" s="20"/>
      <c r="Q39" s="20"/>
      <c r="R39" s="20"/>
      <c r="S39" s="20"/>
      <c r="T39" s="20"/>
      <c r="U39" s="20"/>
      <c r="V39" s="20"/>
      <c r="W39" s="20"/>
      <c r="X39" s="20"/>
      <c r="Y39" s="20"/>
      <c r="Z39" s="20"/>
    </row>
    <row r="40">
      <c r="A40" s="15" t="s">
        <v>129</v>
      </c>
      <c r="B40" s="16" t="s">
        <v>130</v>
      </c>
      <c r="C40" s="16">
        <v>2.0</v>
      </c>
      <c r="D40" s="16">
        <v>1.0</v>
      </c>
      <c r="E40" s="16">
        <v>4.0</v>
      </c>
      <c r="F40" s="20"/>
      <c r="G40" s="20"/>
      <c r="H40" s="20"/>
      <c r="I40" s="20"/>
      <c r="J40" s="20"/>
      <c r="K40" s="20"/>
      <c r="L40" s="20"/>
      <c r="M40" s="20"/>
      <c r="N40" s="20"/>
      <c r="O40" s="20"/>
      <c r="P40" s="20"/>
      <c r="Q40" s="20"/>
      <c r="R40" s="20"/>
      <c r="S40" s="20"/>
      <c r="T40" s="20"/>
      <c r="U40" s="20"/>
      <c r="V40" s="20"/>
      <c r="W40" s="20"/>
      <c r="X40" s="20"/>
      <c r="Y40" s="20"/>
      <c r="Z40" s="20"/>
    </row>
    <row r="41">
      <c r="A41" s="15" t="s">
        <v>131</v>
      </c>
      <c r="B41" s="16" t="s">
        <v>132</v>
      </c>
      <c r="C41" s="16">
        <v>3.0</v>
      </c>
      <c r="D41" s="16">
        <v>3.0</v>
      </c>
      <c r="E41" s="16">
        <v>4.0</v>
      </c>
      <c r="F41" s="20"/>
      <c r="G41" s="20"/>
      <c r="H41" s="20"/>
      <c r="I41" s="20"/>
      <c r="J41" s="20"/>
      <c r="K41" s="20"/>
      <c r="L41" s="20"/>
      <c r="M41" s="20"/>
      <c r="N41" s="20"/>
      <c r="O41" s="20"/>
      <c r="P41" s="20"/>
      <c r="Q41" s="20"/>
      <c r="R41" s="20"/>
      <c r="S41" s="20"/>
      <c r="T41" s="20"/>
      <c r="U41" s="20"/>
      <c r="V41" s="20"/>
      <c r="W41" s="20"/>
      <c r="X41" s="20"/>
      <c r="Y41" s="20"/>
      <c r="Z41" s="20"/>
    </row>
    <row r="42">
      <c r="A42" s="15" t="s">
        <v>133</v>
      </c>
      <c r="B42" s="16" t="s">
        <v>134</v>
      </c>
      <c r="C42" s="16">
        <v>2.0</v>
      </c>
      <c r="D42" s="16">
        <v>5.0</v>
      </c>
      <c r="E42" s="16">
        <v>4.0</v>
      </c>
      <c r="F42" s="20"/>
      <c r="G42" s="20"/>
      <c r="H42" s="20"/>
      <c r="I42" s="20"/>
      <c r="J42" s="20"/>
      <c r="K42" s="20"/>
      <c r="L42" s="20"/>
      <c r="M42" s="20"/>
      <c r="N42" s="20"/>
      <c r="O42" s="20"/>
      <c r="P42" s="20"/>
      <c r="Q42" s="20"/>
      <c r="R42" s="20"/>
      <c r="S42" s="20"/>
      <c r="T42" s="20"/>
      <c r="U42" s="20"/>
      <c r="V42" s="20"/>
      <c r="W42" s="20"/>
      <c r="X42" s="20"/>
      <c r="Y42" s="20"/>
      <c r="Z42" s="20"/>
    </row>
    <row r="43">
      <c r="A43" s="15" t="s">
        <v>135</v>
      </c>
      <c r="B43" s="16" t="s">
        <v>136</v>
      </c>
      <c r="C43" s="16">
        <v>2.0</v>
      </c>
      <c r="D43" s="16">
        <v>5.0</v>
      </c>
      <c r="E43" s="16">
        <v>4.0</v>
      </c>
      <c r="F43" s="20"/>
      <c r="G43" s="20"/>
      <c r="H43" s="20"/>
      <c r="I43" s="20"/>
      <c r="J43" s="20"/>
      <c r="K43" s="20"/>
      <c r="L43" s="20"/>
      <c r="M43" s="20"/>
      <c r="N43" s="20"/>
      <c r="O43" s="20"/>
      <c r="P43" s="20"/>
      <c r="Q43" s="20"/>
      <c r="R43" s="20"/>
      <c r="S43" s="20"/>
      <c r="T43" s="20"/>
      <c r="U43" s="20"/>
      <c r="V43" s="20"/>
      <c r="W43" s="20"/>
      <c r="X43" s="20"/>
      <c r="Y43" s="20"/>
      <c r="Z43" s="20"/>
    </row>
    <row r="44">
      <c r="A44" s="15" t="s">
        <v>137</v>
      </c>
      <c r="B44" s="16" t="s">
        <v>138</v>
      </c>
      <c r="C44" s="16">
        <v>1.0</v>
      </c>
      <c r="D44" s="16">
        <v>5.0</v>
      </c>
      <c r="E44" s="16">
        <v>4.0</v>
      </c>
      <c r="F44" s="20"/>
      <c r="G44" s="20"/>
      <c r="H44" s="20"/>
      <c r="I44" s="20"/>
      <c r="J44" s="20"/>
      <c r="K44" s="20"/>
      <c r="L44" s="20"/>
      <c r="M44" s="20"/>
      <c r="N44" s="20"/>
      <c r="O44" s="20"/>
      <c r="P44" s="20"/>
      <c r="Q44" s="20"/>
      <c r="R44" s="20"/>
      <c r="S44" s="20"/>
      <c r="T44" s="20"/>
      <c r="U44" s="20"/>
      <c r="V44" s="20"/>
      <c r="W44" s="20"/>
      <c r="X44" s="20"/>
      <c r="Y44" s="20"/>
      <c r="Z44" s="20"/>
    </row>
    <row r="45">
      <c r="A45" s="15" t="s">
        <v>139</v>
      </c>
      <c r="B45" s="16" t="s">
        <v>140</v>
      </c>
      <c r="C45" s="16">
        <v>3.0</v>
      </c>
      <c r="D45" s="16">
        <v>4.0</v>
      </c>
      <c r="E45" s="16">
        <v>4.0</v>
      </c>
      <c r="F45" s="19"/>
      <c r="G45" s="20"/>
      <c r="H45" s="20"/>
      <c r="I45" s="20"/>
      <c r="J45" s="20"/>
      <c r="K45" s="20"/>
      <c r="L45" s="20"/>
      <c r="M45" s="20"/>
      <c r="N45" s="20"/>
      <c r="O45" s="20"/>
      <c r="P45" s="20"/>
      <c r="Q45" s="20"/>
      <c r="R45" s="20"/>
      <c r="S45" s="20"/>
      <c r="T45" s="20"/>
      <c r="U45" s="20"/>
      <c r="V45" s="20"/>
      <c r="W45" s="20"/>
      <c r="X45" s="20"/>
      <c r="Y45" s="20"/>
      <c r="Z45" s="20"/>
    </row>
    <row r="46">
      <c r="A46" s="15" t="s">
        <v>141</v>
      </c>
      <c r="B46" s="16" t="s">
        <v>142</v>
      </c>
      <c r="C46" s="16">
        <v>1.0</v>
      </c>
      <c r="D46" s="16">
        <v>4.0</v>
      </c>
      <c r="E46" s="16">
        <v>4.0</v>
      </c>
      <c r="F46" s="19"/>
      <c r="G46" s="20"/>
      <c r="H46" s="20"/>
      <c r="I46" s="20"/>
      <c r="J46" s="20"/>
      <c r="K46" s="20"/>
      <c r="L46" s="20"/>
      <c r="M46" s="20"/>
      <c r="N46" s="20"/>
      <c r="O46" s="20"/>
      <c r="P46" s="20"/>
      <c r="Q46" s="20"/>
      <c r="R46" s="20"/>
      <c r="S46" s="20"/>
      <c r="T46" s="20"/>
      <c r="U46" s="20"/>
      <c r="V46" s="20"/>
      <c r="W46" s="20"/>
      <c r="X46" s="20"/>
      <c r="Y46" s="20"/>
      <c r="Z46" s="20"/>
    </row>
    <row r="47">
      <c r="A47" s="15" t="s">
        <v>143</v>
      </c>
      <c r="B47" s="16" t="s">
        <v>144</v>
      </c>
      <c r="C47" s="16">
        <v>2.0</v>
      </c>
      <c r="D47" s="16">
        <v>1.0</v>
      </c>
      <c r="E47" s="16">
        <v>4.0</v>
      </c>
      <c r="F47" s="20"/>
      <c r="G47" s="20"/>
      <c r="H47" s="20"/>
      <c r="I47" s="20"/>
      <c r="J47" s="20"/>
      <c r="K47" s="20"/>
      <c r="L47" s="20"/>
      <c r="M47" s="20"/>
      <c r="N47" s="20"/>
      <c r="O47" s="20"/>
      <c r="P47" s="20"/>
      <c r="Q47" s="20"/>
      <c r="R47" s="20"/>
      <c r="S47" s="20"/>
      <c r="T47" s="20"/>
      <c r="U47" s="20"/>
      <c r="V47" s="20"/>
      <c r="W47" s="20"/>
      <c r="X47" s="20"/>
      <c r="Y47" s="20"/>
      <c r="Z47" s="20"/>
    </row>
    <row r="48">
      <c r="A48" s="15" t="s">
        <v>145</v>
      </c>
      <c r="B48" s="16" t="s">
        <v>146</v>
      </c>
      <c r="C48" s="16">
        <v>2.0</v>
      </c>
      <c r="D48" s="16">
        <v>1.0</v>
      </c>
      <c r="E48" s="16">
        <v>4.0</v>
      </c>
      <c r="F48" s="21" t="s">
        <v>147</v>
      </c>
      <c r="G48" s="21">
        <f>SUMIF(E:E, "4", C:C)</f>
        <v>28</v>
      </c>
      <c r="H48" s="20"/>
      <c r="I48" s="20"/>
      <c r="J48" s="20"/>
      <c r="K48" s="20"/>
      <c r="L48" s="20"/>
      <c r="M48" s="20"/>
      <c r="N48" s="20"/>
      <c r="O48" s="20"/>
      <c r="P48" s="20"/>
      <c r="Q48" s="20"/>
      <c r="R48" s="20"/>
      <c r="S48" s="20"/>
      <c r="T48" s="20"/>
      <c r="U48" s="20"/>
      <c r="V48" s="20"/>
      <c r="W48" s="20"/>
      <c r="X48" s="20"/>
      <c r="Y48" s="20"/>
      <c r="Z48" s="20"/>
    </row>
    <row r="49">
      <c r="A49" s="15" t="s">
        <v>148</v>
      </c>
      <c r="B49" s="16" t="s">
        <v>149</v>
      </c>
      <c r="C49" s="16">
        <v>1.0</v>
      </c>
      <c r="D49" s="16">
        <v>1.0</v>
      </c>
      <c r="E49" s="16">
        <v>4.0</v>
      </c>
      <c r="F49" s="20"/>
      <c r="G49" s="20"/>
      <c r="H49" s="20"/>
      <c r="I49" s="20"/>
      <c r="J49" s="20"/>
      <c r="K49" s="20"/>
      <c r="L49" s="20"/>
      <c r="M49" s="20"/>
      <c r="N49" s="20"/>
      <c r="O49" s="20"/>
      <c r="P49" s="20"/>
      <c r="Q49" s="20"/>
      <c r="R49" s="20"/>
      <c r="S49" s="20"/>
      <c r="T49" s="20"/>
      <c r="U49" s="20"/>
      <c r="V49" s="20"/>
      <c r="W49" s="20"/>
      <c r="X49" s="20"/>
      <c r="Y49" s="20"/>
      <c r="Z49" s="20"/>
    </row>
    <row r="50">
      <c r="A50" s="15" t="s">
        <v>150</v>
      </c>
      <c r="B50" s="22" t="s">
        <v>151</v>
      </c>
      <c r="C50" s="16">
        <v>2.0</v>
      </c>
      <c r="D50" s="16">
        <v>1.0</v>
      </c>
      <c r="E50" s="16">
        <v>4.0</v>
      </c>
      <c r="F50" s="20"/>
      <c r="G50" s="20"/>
      <c r="H50" s="20"/>
      <c r="I50" s="20"/>
      <c r="J50" s="20"/>
      <c r="K50" s="20"/>
      <c r="L50" s="20"/>
      <c r="M50" s="20"/>
      <c r="N50" s="20"/>
      <c r="O50" s="20"/>
      <c r="P50" s="20"/>
      <c r="Q50" s="20"/>
      <c r="R50" s="20"/>
      <c r="S50" s="20"/>
      <c r="T50" s="20"/>
      <c r="U50" s="20"/>
      <c r="V50" s="20"/>
      <c r="W50" s="20"/>
      <c r="X50" s="20"/>
      <c r="Y50" s="20"/>
      <c r="Z50" s="20"/>
    </row>
    <row r="51">
      <c r="A51" s="15" t="s">
        <v>152</v>
      </c>
      <c r="B51" s="4" t="s">
        <v>153</v>
      </c>
      <c r="C51" s="16">
        <v>2.0</v>
      </c>
      <c r="D51" s="16">
        <v>1.0</v>
      </c>
      <c r="E51" s="16">
        <v>4.0</v>
      </c>
      <c r="F51" s="20"/>
      <c r="G51" s="20"/>
      <c r="H51" s="20"/>
      <c r="I51" s="20"/>
      <c r="J51" s="20"/>
      <c r="K51" s="20"/>
      <c r="L51" s="20"/>
      <c r="M51" s="20"/>
      <c r="N51" s="20"/>
      <c r="O51" s="20"/>
      <c r="P51" s="20"/>
      <c r="Q51" s="20"/>
      <c r="R51" s="20"/>
      <c r="S51" s="20"/>
      <c r="T51" s="20"/>
      <c r="U51" s="20"/>
      <c r="V51" s="20"/>
      <c r="W51" s="20"/>
      <c r="X51" s="20"/>
      <c r="Y51" s="20"/>
      <c r="Z51" s="20"/>
    </row>
    <row r="52">
      <c r="A52" s="23"/>
      <c r="B52" s="24"/>
      <c r="C52" s="17"/>
      <c r="D52" s="17"/>
      <c r="E52" s="17"/>
      <c r="F52" s="20"/>
      <c r="G52" s="20"/>
      <c r="H52" s="20"/>
      <c r="I52" s="20"/>
      <c r="J52" s="20"/>
      <c r="K52" s="20"/>
      <c r="L52" s="20"/>
      <c r="M52" s="20"/>
      <c r="N52" s="20"/>
      <c r="O52" s="20"/>
      <c r="P52" s="20"/>
      <c r="Q52" s="20"/>
      <c r="R52" s="20"/>
      <c r="S52" s="20"/>
      <c r="T52" s="20"/>
      <c r="U52" s="20"/>
      <c r="V52" s="20"/>
      <c r="W52" s="20"/>
      <c r="X52" s="20"/>
      <c r="Y52" s="20"/>
      <c r="Z52" s="20"/>
    </row>
    <row r="53">
      <c r="A53" s="25"/>
      <c r="B53" s="19"/>
      <c r="C53" s="19"/>
      <c r="D53" s="19"/>
      <c r="E53" s="20"/>
      <c r="F53" s="20"/>
      <c r="G53" s="20"/>
      <c r="H53" s="20"/>
      <c r="I53" s="20"/>
      <c r="J53" s="20"/>
      <c r="K53" s="20"/>
      <c r="L53" s="20"/>
      <c r="M53" s="20"/>
      <c r="N53" s="20"/>
      <c r="O53" s="20"/>
      <c r="P53" s="20"/>
      <c r="Q53" s="20"/>
      <c r="R53" s="20"/>
      <c r="S53" s="20"/>
      <c r="T53" s="20"/>
      <c r="U53" s="20"/>
      <c r="V53" s="20"/>
      <c r="W53" s="20"/>
      <c r="X53" s="20"/>
      <c r="Y53" s="20"/>
      <c r="Z53" s="20"/>
    </row>
    <row r="54">
      <c r="A54" s="25"/>
      <c r="B54" s="19"/>
      <c r="C54" s="19"/>
      <c r="D54" s="19"/>
      <c r="E54" s="20"/>
      <c r="F54" s="20"/>
      <c r="G54" s="20"/>
      <c r="H54" s="20"/>
      <c r="I54" s="20"/>
      <c r="J54" s="20"/>
      <c r="K54" s="20"/>
      <c r="L54" s="20"/>
      <c r="M54" s="20"/>
      <c r="N54" s="20"/>
      <c r="O54" s="20"/>
      <c r="P54" s="20"/>
      <c r="Q54" s="20"/>
      <c r="R54" s="20"/>
      <c r="S54" s="20"/>
      <c r="T54" s="20"/>
      <c r="U54" s="20"/>
      <c r="V54" s="20"/>
      <c r="W54" s="20"/>
      <c r="X54" s="20"/>
      <c r="Y54" s="20"/>
      <c r="Z54" s="20"/>
    </row>
    <row r="55">
      <c r="A55" s="25"/>
      <c r="B55" s="19"/>
      <c r="C55" s="19"/>
      <c r="D55" s="19"/>
      <c r="E55" s="20"/>
      <c r="F55" s="20"/>
      <c r="G55" s="20"/>
      <c r="H55" s="20"/>
      <c r="I55" s="20"/>
      <c r="J55" s="20"/>
      <c r="K55" s="20"/>
      <c r="L55" s="20"/>
      <c r="M55" s="20"/>
      <c r="N55" s="20"/>
      <c r="O55" s="20"/>
      <c r="P55" s="20"/>
      <c r="Q55" s="20"/>
      <c r="R55" s="20"/>
      <c r="S55" s="20"/>
      <c r="T55" s="20"/>
      <c r="U55" s="20"/>
      <c r="V55" s="20"/>
      <c r="W55" s="20"/>
      <c r="X55" s="20"/>
      <c r="Y55" s="20"/>
      <c r="Z55" s="20"/>
    </row>
    <row r="56">
      <c r="A56" s="25"/>
      <c r="B56" s="19"/>
      <c r="C56" s="19"/>
      <c r="D56" s="19"/>
      <c r="E56" s="20"/>
      <c r="F56" s="20"/>
      <c r="G56" s="20"/>
      <c r="H56" s="20"/>
      <c r="I56" s="20"/>
      <c r="J56" s="20"/>
      <c r="K56" s="20"/>
      <c r="L56" s="20"/>
      <c r="M56" s="20"/>
      <c r="N56" s="20"/>
      <c r="O56" s="20"/>
      <c r="P56" s="20"/>
      <c r="Q56" s="20"/>
      <c r="R56" s="20"/>
      <c r="S56" s="20"/>
      <c r="T56" s="20"/>
      <c r="U56" s="20"/>
      <c r="V56" s="20"/>
      <c r="W56" s="20"/>
      <c r="X56" s="20"/>
      <c r="Y56" s="20"/>
      <c r="Z56" s="20"/>
    </row>
    <row r="57">
      <c r="A57" s="25"/>
      <c r="B57" s="19"/>
      <c r="C57" s="19"/>
      <c r="D57" s="19"/>
      <c r="E57" s="20"/>
      <c r="F57" s="20"/>
      <c r="G57" s="20"/>
      <c r="H57" s="20"/>
      <c r="I57" s="20"/>
      <c r="J57" s="20"/>
      <c r="K57" s="20"/>
      <c r="L57" s="20"/>
      <c r="M57" s="20"/>
      <c r="N57" s="20"/>
      <c r="O57" s="20"/>
      <c r="P57" s="20"/>
      <c r="Q57" s="20"/>
      <c r="R57" s="20"/>
      <c r="S57" s="20"/>
      <c r="T57" s="20"/>
      <c r="U57" s="20"/>
      <c r="V57" s="20"/>
      <c r="W57" s="20"/>
      <c r="X57" s="20"/>
      <c r="Y57" s="20"/>
      <c r="Z57" s="20"/>
    </row>
    <row r="58">
      <c r="A58" s="25"/>
      <c r="B58" s="19"/>
      <c r="C58" s="19"/>
      <c r="D58" s="19"/>
      <c r="E58" s="20"/>
      <c r="F58" s="20"/>
      <c r="G58" s="20"/>
      <c r="H58" s="20"/>
      <c r="I58" s="20"/>
      <c r="J58" s="20"/>
      <c r="K58" s="20"/>
      <c r="L58" s="20"/>
      <c r="M58" s="20"/>
      <c r="N58" s="20"/>
      <c r="O58" s="20"/>
      <c r="P58" s="20"/>
      <c r="Q58" s="20"/>
      <c r="R58" s="20"/>
      <c r="S58" s="20"/>
      <c r="T58" s="20"/>
      <c r="U58" s="20"/>
      <c r="V58" s="20"/>
      <c r="W58" s="20"/>
      <c r="X58" s="20"/>
      <c r="Y58" s="20"/>
      <c r="Z58" s="20"/>
    </row>
    <row r="59">
      <c r="A59" s="25"/>
      <c r="B59" s="19"/>
      <c r="C59" s="19"/>
      <c r="D59" s="19"/>
      <c r="E59" s="20"/>
      <c r="F59" s="20"/>
      <c r="G59" s="20"/>
      <c r="H59" s="20"/>
      <c r="I59" s="20"/>
      <c r="J59" s="20"/>
      <c r="K59" s="20"/>
      <c r="L59" s="20"/>
      <c r="M59" s="20"/>
      <c r="N59" s="20"/>
      <c r="O59" s="20"/>
      <c r="P59" s="20"/>
      <c r="Q59" s="20"/>
      <c r="R59" s="20"/>
      <c r="S59" s="20"/>
      <c r="T59" s="20"/>
      <c r="U59" s="20"/>
      <c r="V59" s="20"/>
      <c r="W59" s="20"/>
      <c r="X59" s="20"/>
      <c r="Y59" s="20"/>
      <c r="Z59" s="20"/>
    </row>
    <row r="60">
      <c r="A60" s="25"/>
      <c r="B60" s="19"/>
      <c r="C60" s="19"/>
      <c r="D60" s="19"/>
      <c r="E60" s="20"/>
      <c r="F60" s="20"/>
      <c r="G60" s="20"/>
      <c r="H60" s="20"/>
      <c r="I60" s="20"/>
      <c r="J60" s="20"/>
      <c r="K60" s="20"/>
      <c r="L60" s="20"/>
      <c r="M60" s="20"/>
      <c r="N60" s="20"/>
      <c r="O60" s="20"/>
      <c r="P60" s="20"/>
      <c r="Q60" s="20"/>
      <c r="R60" s="20"/>
      <c r="S60" s="20"/>
      <c r="T60" s="20"/>
      <c r="U60" s="20"/>
      <c r="V60" s="20"/>
      <c r="W60" s="20"/>
      <c r="X60" s="20"/>
      <c r="Y60" s="20"/>
      <c r="Z60" s="20"/>
    </row>
    <row r="61">
      <c r="A61" s="25"/>
      <c r="B61" s="19"/>
      <c r="C61" s="19"/>
      <c r="D61" s="19"/>
      <c r="E61" s="20"/>
      <c r="F61" s="20"/>
      <c r="G61" s="20"/>
      <c r="H61" s="20"/>
      <c r="I61" s="20"/>
      <c r="J61" s="20"/>
      <c r="K61" s="20"/>
      <c r="L61" s="20"/>
      <c r="M61" s="20"/>
      <c r="N61" s="20"/>
      <c r="O61" s="20"/>
      <c r="P61" s="20"/>
      <c r="Q61" s="20"/>
      <c r="R61" s="20"/>
      <c r="S61" s="20"/>
      <c r="T61" s="20"/>
      <c r="U61" s="20"/>
      <c r="V61" s="20"/>
      <c r="W61" s="20"/>
      <c r="X61" s="20"/>
      <c r="Y61" s="20"/>
      <c r="Z61" s="20"/>
    </row>
    <row r="62">
      <c r="A62" s="25"/>
      <c r="B62" s="19"/>
      <c r="C62" s="19"/>
      <c r="D62" s="19"/>
      <c r="E62" s="20"/>
      <c r="F62" s="20"/>
      <c r="G62" s="20"/>
      <c r="H62" s="20"/>
      <c r="I62" s="20"/>
      <c r="J62" s="20"/>
      <c r="K62" s="20"/>
      <c r="L62" s="20"/>
      <c r="M62" s="20"/>
      <c r="N62" s="20"/>
      <c r="O62" s="20"/>
      <c r="P62" s="20"/>
      <c r="Q62" s="20"/>
      <c r="R62" s="20"/>
      <c r="S62" s="20"/>
      <c r="T62" s="20"/>
      <c r="U62" s="20"/>
      <c r="V62" s="20"/>
      <c r="W62" s="20"/>
      <c r="X62" s="20"/>
      <c r="Y62" s="20"/>
      <c r="Z62" s="20"/>
    </row>
    <row r="63">
      <c r="A63" s="25"/>
      <c r="B63" s="19"/>
      <c r="C63" s="19"/>
      <c r="D63" s="19"/>
      <c r="E63" s="20"/>
      <c r="F63" s="20"/>
      <c r="G63" s="20"/>
      <c r="H63" s="20"/>
      <c r="I63" s="20"/>
      <c r="J63" s="20"/>
      <c r="K63" s="20"/>
      <c r="L63" s="20"/>
      <c r="M63" s="20"/>
      <c r="N63" s="20"/>
      <c r="O63" s="20"/>
      <c r="P63" s="20"/>
      <c r="Q63" s="20"/>
      <c r="R63" s="20"/>
      <c r="S63" s="20"/>
      <c r="T63" s="20"/>
      <c r="U63" s="20"/>
      <c r="V63" s="20"/>
      <c r="W63" s="20"/>
      <c r="X63" s="20"/>
      <c r="Y63" s="20"/>
      <c r="Z63" s="20"/>
    </row>
    <row r="64">
      <c r="A64" s="25"/>
      <c r="B64" s="19"/>
      <c r="C64" s="19"/>
      <c r="D64" s="19"/>
      <c r="E64" s="20"/>
      <c r="F64" s="20"/>
      <c r="G64" s="20"/>
      <c r="H64" s="20"/>
      <c r="I64" s="20"/>
      <c r="J64" s="20"/>
      <c r="K64" s="20"/>
      <c r="L64" s="20"/>
      <c r="M64" s="20"/>
      <c r="N64" s="20"/>
      <c r="O64" s="20"/>
      <c r="P64" s="20"/>
      <c r="Q64" s="20"/>
      <c r="R64" s="20"/>
      <c r="S64" s="20"/>
      <c r="T64" s="20"/>
      <c r="U64" s="20"/>
      <c r="V64" s="20"/>
      <c r="W64" s="20"/>
      <c r="X64" s="20"/>
      <c r="Y64" s="20"/>
      <c r="Z64" s="20"/>
    </row>
    <row r="65">
      <c r="A65" s="25"/>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5"/>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5"/>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5"/>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5"/>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5"/>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5"/>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5"/>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5"/>
      <c r="B73" s="19"/>
      <c r="C73" s="19"/>
      <c r="D73" s="20"/>
      <c r="E73" s="20"/>
      <c r="F73" s="20"/>
      <c r="G73" s="20"/>
      <c r="H73" s="20"/>
      <c r="I73" s="20"/>
      <c r="J73" s="20"/>
      <c r="K73" s="20"/>
      <c r="L73" s="20"/>
      <c r="M73" s="20"/>
      <c r="N73" s="20"/>
      <c r="O73" s="20"/>
      <c r="P73" s="20"/>
      <c r="Q73" s="20"/>
      <c r="R73" s="20"/>
      <c r="S73" s="20"/>
      <c r="T73" s="20"/>
      <c r="U73" s="20"/>
      <c r="V73" s="20"/>
      <c r="W73" s="20"/>
      <c r="X73" s="20"/>
      <c r="Y73" s="20"/>
      <c r="Z73" s="20"/>
    </row>
    <row r="74">
      <c r="A74" s="25"/>
      <c r="B74" s="19"/>
      <c r="C74" s="19"/>
      <c r="D74" s="20"/>
      <c r="E74" s="20"/>
      <c r="F74" s="20"/>
      <c r="G74" s="20"/>
      <c r="H74" s="20"/>
      <c r="I74" s="20"/>
      <c r="J74" s="20"/>
      <c r="K74" s="20"/>
      <c r="L74" s="20"/>
      <c r="M74" s="20"/>
      <c r="N74" s="20"/>
      <c r="O74" s="20"/>
      <c r="P74" s="20"/>
      <c r="Q74" s="20"/>
      <c r="R74" s="20"/>
      <c r="S74" s="20"/>
      <c r="T74" s="20"/>
      <c r="U74" s="20"/>
      <c r="V74" s="20"/>
      <c r="W74" s="20"/>
      <c r="X74" s="20"/>
      <c r="Y74" s="20"/>
      <c r="Z74" s="20"/>
    </row>
    <row r="75">
      <c r="A75" s="25"/>
      <c r="B75" s="19"/>
      <c r="C75" s="19"/>
      <c r="D75" s="20"/>
      <c r="E75" s="20"/>
      <c r="F75" s="20"/>
      <c r="G75" s="20"/>
      <c r="H75" s="20"/>
      <c r="I75" s="20"/>
      <c r="J75" s="20"/>
      <c r="K75" s="20"/>
      <c r="L75" s="20"/>
      <c r="M75" s="20"/>
      <c r="N75" s="20"/>
      <c r="O75" s="20"/>
      <c r="P75" s="20"/>
      <c r="Q75" s="20"/>
      <c r="R75" s="20"/>
      <c r="S75" s="20"/>
      <c r="T75" s="20"/>
      <c r="U75" s="20"/>
      <c r="V75" s="20"/>
      <c r="W75" s="20"/>
      <c r="X75" s="20"/>
      <c r="Y75" s="20"/>
      <c r="Z75" s="20"/>
    </row>
    <row r="76">
      <c r="A76" s="25"/>
      <c r="B76" s="19"/>
      <c r="C76" s="19"/>
      <c r="D76" s="20"/>
      <c r="E76" s="20"/>
      <c r="F76" s="20"/>
      <c r="G76" s="20"/>
      <c r="H76" s="20"/>
      <c r="I76" s="20"/>
      <c r="J76" s="20"/>
      <c r="K76" s="20"/>
      <c r="L76" s="20"/>
      <c r="M76" s="20"/>
      <c r="N76" s="20"/>
      <c r="O76" s="20"/>
      <c r="P76" s="20"/>
      <c r="Q76" s="20"/>
      <c r="R76" s="20"/>
      <c r="S76" s="20"/>
      <c r="T76" s="20"/>
      <c r="U76" s="20"/>
      <c r="V76" s="20"/>
      <c r="W76" s="20"/>
      <c r="X76" s="20"/>
      <c r="Y76" s="20"/>
      <c r="Z76" s="20"/>
    </row>
    <row r="77">
      <c r="A77" s="25"/>
      <c r="B77" s="19"/>
      <c r="C77" s="19"/>
      <c r="D77" s="20"/>
      <c r="E77" s="20"/>
      <c r="F77" s="20"/>
      <c r="G77" s="20"/>
      <c r="H77" s="20"/>
      <c r="I77" s="20"/>
      <c r="J77" s="20"/>
      <c r="K77" s="20"/>
      <c r="L77" s="20"/>
      <c r="M77" s="20"/>
      <c r="N77" s="20"/>
      <c r="O77" s="20"/>
      <c r="P77" s="20"/>
      <c r="Q77" s="20"/>
      <c r="R77" s="20"/>
      <c r="S77" s="20"/>
      <c r="T77" s="20"/>
      <c r="U77" s="20"/>
      <c r="V77" s="20"/>
      <c r="W77" s="20"/>
      <c r="X77" s="20"/>
      <c r="Y77" s="20"/>
      <c r="Z77" s="20"/>
    </row>
    <row r="78">
      <c r="A78" s="25"/>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5"/>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5"/>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5"/>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5"/>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5"/>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5"/>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5"/>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5"/>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5"/>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5"/>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5"/>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5"/>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5"/>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5"/>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5"/>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5"/>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5"/>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5"/>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5"/>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5"/>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5"/>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5"/>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5"/>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5"/>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5"/>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5"/>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5"/>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5"/>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5"/>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5"/>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5"/>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5"/>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5"/>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5"/>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5"/>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5"/>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5"/>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5"/>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5"/>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5"/>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5"/>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5"/>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5"/>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5"/>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5"/>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5"/>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5"/>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5"/>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5"/>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5"/>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5"/>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5"/>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5"/>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5"/>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5"/>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5"/>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5"/>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5"/>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5"/>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5"/>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5"/>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5"/>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5"/>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5"/>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5"/>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5"/>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5"/>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5"/>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5"/>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5"/>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5"/>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5"/>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5"/>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5"/>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5"/>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5"/>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5"/>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5"/>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5"/>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5"/>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5"/>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5"/>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5"/>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5"/>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5"/>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5"/>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5"/>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5"/>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5"/>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5"/>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5"/>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5"/>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5"/>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5"/>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5"/>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5"/>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5"/>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5"/>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5"/>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5"/>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5"/>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5"/>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5"/>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5"/>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5"/>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5"/>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5"/>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5"/>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5"/>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5"/>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5"/>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5"/>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5"/>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5"/>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5"/>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5"/>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5"/>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5"/>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5"/>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5"/>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5"/>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5"/>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5"/>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5"/>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5"/>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5"/>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5"/>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5"/>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5"/>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5"/>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5"/>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5"/>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5"/>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5"/>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5"/>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5"/>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5"/>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5"/>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5"/>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5"/>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5"/>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5"/>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5"/>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5"/>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5"/>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5"/>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5"/>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5"/>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5"/>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5"/>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5"/>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5"/>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5"/>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5"/>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5"/>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5"/>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5"/>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5"/>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5"/>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5"/>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5"/>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5"/>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5"/>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5"/>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5"/>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5"/>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5"/>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5"/>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5"/>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5"/>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5"/>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5"/>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5"/>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5"/>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5"/>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5"/>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5"/>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5"/>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5"/>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5"/>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5"/>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5"/>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5"/>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5"/>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5"/>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5"/>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5"/>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5"/>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5"/>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5"/>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5"/>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5"/>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5"/>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5"/>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5"/>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5"/>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5"/>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5"/>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5"/>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5"/>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5"/>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5"/>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5"/>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5"/>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5"/>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5"/>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5"/>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5"/>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5"/>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5"/>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5"/>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5"/>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5"/>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5"/>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5"/>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5"/>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5"/>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5"/>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5"/>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5"/>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5"/>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5"/>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5"/>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5"/>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5"/>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5"/>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5"/>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5"/>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5"/>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5"/>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5"/>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5"/>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5"/>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5"/>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5"/>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5"/>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5"/>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5"/>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5"/>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5"/>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5"/>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5"/>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5"/>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5"/>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5"/>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5"/>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5"/>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5"/>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5"/>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5"/>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5"/>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5"/>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5"/>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5"/>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5"/>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5"/>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5"/>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5"/>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5"/>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5"/>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5"/>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5"/>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5"/>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5"/>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5"/>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5"/>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5"/>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5"/>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5"/>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5"/>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5"/>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5"/>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5"/>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5"/>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5"/>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5"/>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5"/>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5"/>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5"/>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5"/>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5"/>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5"/>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5"/>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5"/>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5"/>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5"/>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5"/>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5"/>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5"/>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5"/>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5"/>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5"/>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5"/>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5"/>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5"/>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5"/>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5"/>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5"/>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5"/>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5"/>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5"/>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5"/>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5"/>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5"/>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5"/>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5"/>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5"/>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5"/>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5"/>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5"/>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5"/>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5"/>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5"/>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5"/>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5"/>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5"/>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5"/>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5"/>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5"/>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5"/>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5"/>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5"/>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5"/>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5"/>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5"/>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5"/>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5"/>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5"/>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5"/>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5"/>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5"/>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5"/>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5"/>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5"/>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5"/>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5"/>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5"/>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5"/>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5"/>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5"/>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5"/>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5"/>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5"/>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5"/>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5"/>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5"/>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5"/>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5"/>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5"/>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5"/>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5"/>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5"/>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5"/>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5"/>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5"/>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5"/>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5"/>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5"/>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5"/>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5"/>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5"/>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5"/>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5"/>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5"/>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5"/>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5"/>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5"/>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5"/>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5"/>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5"/>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5"/>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5"/>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5"/>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5"/>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5"/>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5"/>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5"/>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5"/>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5"/>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5"/>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5"/>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5"/>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5"/>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5"/>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5"/>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5"/>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5"/>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5"/>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5"/>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5"/>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5"/>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5"/>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5"/>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5"/>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5"/>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5"/>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5"/>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5"/>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5"/>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5"/>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5"/>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5"/>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5"/>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5"/>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5"/>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5"/>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5"/>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5"/>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5"/>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5"/>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5"/>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5"/>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5"/>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5"/>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5"/>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5"/>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5"/>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5"/>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5"/>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5"/>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5"/>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5"/>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5"/>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5"/>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5"/>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5"/>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5"/>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5"/>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5"/>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5"/>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5"/>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5"/>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5"/>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5"/>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5"/>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5"/>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5"/>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5"/>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5"/>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5"/>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5"/>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5"/>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5"/>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5"/>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5"/>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5"/>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5"/>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5"/>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5"/>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5"/>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5"/>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5"/>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5"/>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5"/>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5"/>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5"/>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5"/>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5"/>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5"/>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5"/>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5"/>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5"/>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5"/>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5"/>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5"/>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5"/>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5"/>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5"/>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5"/>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5"/>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5"/>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5"/>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5"/>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5"/>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5"/>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5"/>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5"/>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5"/>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5"/>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5"/>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5"/>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5"/>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5"/>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5"/>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5"/>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5"/>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5"/>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5"/>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5"/>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5"/>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5"/>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5"/>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5"/>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5"/>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5"/>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5"/>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5"/>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5"/>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5"/>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5"/>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5"/>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5"/>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5"/>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5"/>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5"/>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5"/>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5"/>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5"/>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5"/>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5"/>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5"/>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5"/>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5"/>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5"/>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5"/>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5"/>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5"/>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5"/>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5"/>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5"/>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5"/>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5"/>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5"/>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5"/>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5"/>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5"/>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5"/>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5"/>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5"/>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5"/>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5"/>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5"/>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5"/>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5"/>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5"/>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5"/>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5"/>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5"/>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5"/>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5"/>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5"/>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5"/>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5"/>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5"/>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5"/>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5"/>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5"/>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5"/>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5"/>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5"/>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5"/>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5"/>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5"/>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5"/>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5"/>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5"/>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5"/>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5"/>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5"/>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5"/>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5"/>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5"/>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5"/>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5"/>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5"/>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5"/>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5"/>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5"/>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5"/>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5"/>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5"/>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5"/>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5"/>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5"/>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5"/>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5"/>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5"/>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5"/>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5"/>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5"/>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5"/>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5"/>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5"/>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5"/>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5"/>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5"/>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5"/>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5"/>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5"/>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5"/>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5"/>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5"/>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5"/>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5"/>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5"/>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5"/>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5"/>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5"/>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5"/>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5"/>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5"/>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5"/>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5"/>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5"/>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5"/>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5"/>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5"/>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5"/>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5"/>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5"/>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5"/>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5"/>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5"/>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5"/>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5"/>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5"/>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5"/>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5"/>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5"/>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5"/>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5"/>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5"/>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5"/>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5"/>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5"/>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5"/>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5"/>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5"/>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5"/>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5"/>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5"/>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5"/>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5"/>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5"/>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5"/>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5"/>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5"/>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5"/>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5"/>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5"/>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5"/>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5"/>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5"/>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5"/>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5"/>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5"/>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5"/>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5"/>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5"/>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5"/>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5"/>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5"/>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5"/>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5"/>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5"/>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5"/>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5"/>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5"/>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5"/>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5"/>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5"/>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5"/>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5"/>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5"/>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5"/>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5"/>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5"/>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5"/>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5"/>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5"/>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5"/>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5"/>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5"/>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5"/>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5"/>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5"/>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5"/>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5"/>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5"/>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5"/>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5"/>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5"/>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5"/>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5"/>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5"/>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5"/>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5"/>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5"/>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5"/>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5"/>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5"/>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5"/>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5"/>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5"/>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5"/>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5"/>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5"/>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5"/>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5"/>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5"/>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5"/>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5"/>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5"/>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5"/>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5"/>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5"/>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5"/>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5"/>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5"/>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5"/>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5"/>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5"/>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5"/>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5"/>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5"/>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5"/>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5"/>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5"/>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5"/>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5"/>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5"/>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5"/>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5"/>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5"/>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5"/>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5"/>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5"/>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5"/>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5"/>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5"/>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5"/>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5"/>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5"/>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5"/>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5"/>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5"/>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5"/>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5"/>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5"/>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5"/>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5"/>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5"/>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5"/>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5"/>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5"/>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5"/>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5"/>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5"/>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5"/>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5"/>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5"/>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5"/>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5"/>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5"/>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5"/>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5"/>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5"/>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5"/>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5"/>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5"/>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5"/>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5"/>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5"/>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5"/>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5"/>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5"/>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5"/>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5"/>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5"/>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5"/>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5"/>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5"/>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5"/>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5"/>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5"/>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5"/>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5"/>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5"/>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5"/>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5"/>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5"/>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5"/>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5"/>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5"/>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5"/>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5"/>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5"/>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5"/>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5"/>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5"/>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5"/>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5"/>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5"/>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5"/>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5"/>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5"/>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5"/>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5"/>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5"/>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5"/>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5"/>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5"/>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5"/>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5"/>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5"/>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5"/>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5"/>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5"/>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5"/>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5"/>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5"/>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5"/>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5"/>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5"/>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5"/>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5"/>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5"/>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5"/>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5"/>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5"/>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5"/>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5"/>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5"/>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5"/>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5"/>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5"/>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5"/>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5"/>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5"/>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5"/>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5"/>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5"/>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5"/>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5"/>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5"/>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5"/>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5"/>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5"/>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5"/>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5"/>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5"/>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5"/>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5"/>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5"/>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5"/>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5"/>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5"/>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5"/>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5"/>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5"/>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5"/>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5"/>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5"/>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5"/>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5"/>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5"/>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5"/>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5"/>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5"/>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5"/>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5"/>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5"/>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5"/>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5"/>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5"/>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5"/>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5"/>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5"/>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5"/>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5"/>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5"/>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5"/>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5"/>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5"/>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5"/>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5"/>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5"/>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5"/>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5"/>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5"/>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5"/>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5"/>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5"/>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5"/>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5"/>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5"/>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5"/>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5"/>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5"/>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5"/>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5"/>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5"/>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5"/>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5"/>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5"/>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5"/>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5"/>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5"/>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5"/>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5"/>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5"/>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5"/>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5"/>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5"/>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5"/>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5"/>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5"/>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5"/>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5"/>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5"/>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5"/>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5"/>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5"/>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5"/>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5"/>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5"/>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5"/>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5"/>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5"/>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5"/>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5"/>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5"/>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c r="A1001" s="25"/>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c r="A1002" s="25"/>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row>
    <row r="1003">
      <c r="A1003" s="25"/>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row>
    <row r="1004">
      <c r="A1004" s="25"/>
      <c r="B1004" s="20"/>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row>
    <row r="1005">
      <c r="A1005" s="25"/>
      <c r="B1005" s="20"/>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row>
    <row r="1006">
      <c r="A1006" s="25"/>
      <c r="B1006" s="20"/>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row>
    <row r="1007">
      <c r="A1007" s="25"/>
      <c r="B1007" s="20"/>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row>
    <row r="1008">
      <c r="A1008" s="25"/>
      <c r="B1008" s="20"/>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row>
    <row r="1009">
      <c r="A1009" s="25"/>
      <c r="B1009" s="20"/>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row>
    <row r="1010">
      <c r="A1010" s="25"/>
      <c r="B1010" s="20"/>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row>
    <row r="1011">
      <c r="A1011" s="25"/>
      <c r="B1011" s="20"/>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row>
    <row r="1012">
      <c r="A1012" s="25"/>
      <c r="B1012" s="20"/>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row>
    <row r="1013">
      <c r="A1013" s="25"/>
      <c r="B1013" s="20"/>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row>
    <row r="1014">
      <c r="A1014" s="25"/>
      <c r="B1014" s="20"/>
      <c r="C1014" s="20"/>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row>
    <row r="1015">
      <c r="A1015" s="25"/>
      <c r="B1015" s="20"/>
      <c r="C1015" s="20"/>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row>
    <row r="1016">
      <c r="A1016" s="25"/>
      <c r="B1016" s="20"/>
      <c r="C1016" s="20"/>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row>
    <row r="1017">
      <c r="A1017" s="25"/>
      <c r="B1017" s="20"/>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row>
    <row r="1018">
      <c r="A1018" s="25"/>
      <c r="B1018" s="20"/>
      <c r="C1018" s="20"/>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row>
    <row r="1019">
      <c r="A1019" s="25"/>
      <c r="B1019" s="20"/>
      <c r="C1019" s="20"/>
      <c r="D1019" s="20"/>
      <c r="E1019" s="20"/>
      <c r="F1019" s="20"/>
      <c r="G1019" s="20"/>
      <c r="H1019" s="20"/>
      <c r="I1019" s="20"/>
      <c r="J1019" s="20"/>
      <c r="K1019" s="20"/>
      <c r="L1019" s="20"/>
      <c r="M1019" s="20"/>
      <c r="N1019" s="20"/>
      <c r="O1019" s="20"/>
      <c r="P1019" s="20"/>
      <c r="Q1019" s="20"/>
      <c r="R1019" s="20"/>
      <c r="S1019" s="20"/>
      <c r="T1019" s="20"/>
      <c r="U1019" s="20"/>
      <c r="V1019" s="20"/>
      <c r="W1019" s="20"/>
      <c r="X1019" s="20"/>
      <c r="Y1019" s="20"/>
      <c r="Z1019" s="20"/>
    </row>
    <row r="1020">
      <c r="A1020" s="25"/>
      <c r="B1020" s="20"/>
      <c r="C1020" s="20"/>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row>
    <row r="1021">
      <c r="A1021" s="25"/>
      <c r="B1021" s="20"/>
      <c r="C1021" s="20"/>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row>
    <row r="1022">
      <c r="A1022" s="25"/>
      <c r="B1022" s="20"/>
      <c r="C1022" s="20"/>
      <c r="D1022" s="20"/>
      <c r="E1022" s="20"/>
      <c r="F1022" s="20"/>
      <c r="G1022" s="20"/>
      <c r="H1022" s="20"/>
      <c r="I1022" s="20"/>
      <c r="J1022" s="20"/>
      <c r="K1022" s="20"/>
      <c r="L1022" s="20"/>
      <c r="M1022" s="20"/>
      <c r="N1022" s="20"/>
      <c r="O1022" s="20"/>
      <c r="P1022" s="20"/>
      <c r="Q1022" s="20"/>
      <c r="R1022" s="20"/>
      <c r="S1022" s="20"/>
      <c r="T1022" s="20"/>
      <c r="U1022" s="20"/>
      <c r="V1022" s="20"/>
      <c r="W1022" s="20"/>
      <c r="X1022" s="20"/>
      <c r="Y1022" s="20"/>
      <c r="Z1022" s="20"/>
    </row>
  </sheetData>
  <drawing r:id="rId1"/>
</worksheet>
</file>